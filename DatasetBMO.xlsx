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2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3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jandrolopez/Desktop/"/>
    </mc:Choice>
  </mc:AlternateContent>
  <xr:revisionPtr revIDLastSave="0" documentId="8_{4B4BF290-E23E-AF4F-AB96-3AA0EEA13096}" xr6:coauthVersionLast="47" xr6:coauthVersionMax="47" xr10:uidLastSave="{00000000-0000-0000-0000-000000000000}"/>
  <bookViews>
    <workbookView xWindow="0" yWindow="0" windowWidth="28800" windowHeight="18000" activeTab="5" xr2:uid="{5B7642FB-A626-4A6F-BA12-897F338BC5AF}"/>
  </bookViews>
  <sheets>
    <sheet name="DATA" sheetId="1" r:id="rId1"/>
    <sheet name="Regression" sheetId="3" r:id="rId2"/>
    <sheet name="conjoint analysis" sheetId="2" r:id="rId3"/>
    <sheet name="Optimization 20" sheetId="4" r:id="rId4"/>
    <sheet name="Optimization 25" sheetId="6" r:id="rId5"/>
    <sheet name="Optimization 8" sheetId="7" r:id="rId6"/>
  </sheets>
  <definedNames>
    <definedName name="_xlnm._FilterDatabase" localSheetId="0" hidden="1">DATA!$A$1:$L$37</definedName>
    <definedName name="OpenSolver_ChosenSolver" localSheetId="3" hidden="1">CBC</definedName>
    <definedName name="OpenSolver_ChosenSolver" localSheetId="4" hidden="1">CBC</definedName>
    <definedName name="OpenSolver_ChosenSolver" localSheetId="5" hidden="1">CBC</definedName>
    <definedName name="OpenSolver_DualsNewSheet" localSheetId="3" hidden="1">1</definedName>
    <definedName name="OpenSolver_DualsNewSheet" localSheetId="4" hidden="1">0</definedName>
    <definedName name="OpenSolver_DualsNewSheet" localSheetId="5" hidden="1">0</definedName>
    <definedName name="OpenSolver_LinearityCheck" localSheetId="3" hidden="1">1</definedName>
    <definedName name="OpenSolver_LinearityCheck" localSheetId="4" hidden="1">1</definedName>
    <definedName name="OpenSolver_LinearityCheck" localSheetId="5" hidden="1">1</definedName>
    <definedName name="OpenSolver_UpdateSensitivity" localSheetId="3" hidden="1">0</definedName>
    <definedName name="OpenSolver_UpdateSensitivity" localSheetId="4" hidden="1">1</definedName>
    <definedName name="OpenSolver_UpdateSensitivity" localSheetId="5" hidden="1">1</definedName>
    <definedName name="solver_adj" localSheetId="3" hidden="1">'Optimization 20'!$C$15:$C$16</definedName>
    <definedName name="solver_adj" localSheetId="4" hidden="1">'Optimization 25'!$C$15:$C$16</definedName>
    <definedName name="solver_adj" localSheetId="5" hidden="1">'Optimization 8'!$C$15:$C$16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eng" localSheetId="0" hidden="1">1</definedName>
    <definedName name="solver_eng" localSheetId="5" hidden="1">2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lhs1" localSheetId="3" hidden="1">'Optimization 20'!$F$4</definedName>
    <definedName name="solver_lhs1" localSheetId="4" hidden="1">'Optimization 25'!$F$4</definedName>
    <definedName name="solver_lhs1" localSheetId="5" hidden="1">'Optimization 8'!$C$15:$C$16</definedName>
    <definedName name="solver_lhs2" localSheetId="3" hidden="1">'Optimization 20'!$F$5</definedName>
    <definedName name="solver_lhs2" localSheetId="4" hidden="1">'Optimization 25'!$F$5</definedName>
    <definedName name="solver_lhs2" localSheetId="5" hidden="1">'Optimization 8'!$F$4:$F$5</definedName>
    <definedName name="solver_lhs3" localSheetId="3" hidden="1">'Optimization 20'!$C$15:$C$16</definedName>
    <definedName name="solver_lhs3" localSheetId="4" hidden="1">'Optimization 25'!$C$15:$C$16</definedName>
    <definedName name="solver_lin" localSheetId="0" hidden="1">2</definedName>
    <definedName name="solver_lin" localSheetId="5" hidden="1">1</definedName>
    <definedName name="solver_mip" localSheetId="5" hidden="1">2147483647</definedName>
    <definedName name="solver_mni" localSheetId="5" hidden="1">30</definedName>
    <definedName name="solver_mrt" localSheetId="5" hidden="1">0.075</definedName>
    <definedName name="solver_msl" localSheetId="5" hidden="1">2</definedName>
    <definedName name="solver_neg" localSheetId="0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od" localSheetId="5" hidden="1">2147483647</definedName>
    <definedName name="solver_num" localSheetId="0" hidden="1">0</definedName>
    <definedName name="solver_num" localSheetId="3" hidden="1">2</definedName>
    <definedName name="solver_num" localSheetId="4" hidden="1">3</definedName>
    <definedName name="solver_num" localSheetId="5" hidden="1">2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opt" localSheetId="0" hidden="1">DATA!$Q$12</definedName>
    <definedName name="solver_opt" localSheetId="3" hidden="1">'Optimization 20'!$C$19</definedName>
    <definedName name="solver_opt" localSheetId="4" hidden="1">'Optimization 25'!$C$19</definedName>
    <definedName name="solver_opt" localSheetId="5" hidden="1">'Optimization 8'!$C$19</definedName>
    <definedName name="solver_pre" localSheetId="5" hidden="1">0.000001</definedName>
    <definedName name="solver_rbv" localSheetId="5" hidden="1">1</definedName>
    <definedName name="solver_rel1" localSheetId="3" hidden="1">1</definedName>
    <definedName name="solver_rel1" localSheetId="4" hidden="1">1</definedName>
    <definedName name="solver_rel1" localSheetId="5" hidden="1">4</definedName>
    <definedName name="solver_rel2" localSheetId="3" hidden="1">1</definedName>
    <definedName name="solver_rel2" localSheetId="4" hidden="1">1</definedName>
    <definedName name="solver_rel2" localSheetId="5" hidden="1">1</definedName>
    <definedName name="solver_rel3" localSheetId="3" hidden="1">3</definedName>
    <definedName name="solver_rel3" localSheetId="4" hidden="1">4</definedName>
    <definedName name="solver_rhs1" localSheetId="3" hidden="1">'Optimization 20'!$H$4</definedName>
    <definedName name="solver_rhs1" localSheetId="4" hidden="1">'Optimization 25'!$H$4</definedName>
    <definedName name="solver_rhs1" localSheetId="5" hidden="1">integer</definedName>
    <definedName name="solver_rhs2" localSheetId="3" hidden="1">'Optimization 20'!$H$5</definedName>
    <definedName name="solver_rhs2" localSheetId="4" hidden="1">'Optimization 25'!$H$5</definedName>
    <definedName name="solver_rhs2" localSheetId="5" hidden="1">'Optimization 8'!$H$4:$H$5</definedName>
    <definedName name="solver_rhs3" localSheetId="3" hidden="1">0</definedName>
    <definedName name="solver_rhs3" localSheetId="4" hidden="1">integer</definedName>
    <definedName name="solver_rlx" localSheetId="3" hidden="1">2</definedName>
    <definedName name="solver_rlx" localSheetId="4" hidden="1">2</definedName>
    <definedName name="solver_rlx" localSheetId="5" hidden="1">0</definedName>
    <definedName name="solver_rsd" localSheetId="5" hidden="1">0</definedName>
    <definedName name="solver_scl" localSheetId="3" hidden="1">2</definedName>
    <definedName name="solver_scl" localSheetId="4" hidden="1">2</definedName>
    <definedName name="solver_scl" localSheetId="5" hidden="1">2</definedName>
    <definedName name="solver_sho" localSheetId="3" hidden="1">0</definedName>
    <definedName name="solver_sho" localSheetId="4" hidden="1">0</definedName>
    <definedName name="solver_sho" localSheetId="5" hidden="1">2</definedName>
    <definedName name="solver_ssz" localSheetId="5" hidden="1">100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ol" localSheetId="3" hidden="1">0.05</definedName>
    <definedName name="solver_tol" localSheetId="4" hidden="1">0.05</definedName>
    <definedName name="solver_tol" localSheetId="5" hidden="1">0.01</definedName>
    <definedName name="solver_typ" localSheetId="0" hidden="1">1</definedName>
    <definedName name="solver_typ" localSheetId="3" hidden="1">1</definedName>
    <definedName name="solver_typ" localSheetId="4" hidden="1">1</definedName>
    <definedName name="solver_typ" localSheetId="5" hidden="1">1</definedName>
    <definedName name="solver_val" localSheetId="0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er" localSheetId="0" hidden="1">2</definedName>
    <definedName name="solver_ver" localSheetId="5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6" i="7" l="1"/>
  <c r="G36" i="7"/>
  <c r="F36" i="7"/>
  <c r="H35" i="7"/>
  <c r="G35" i="7"/>
  <c r="F35" i="7"/>
  <c r="H34" i="7"/>
  <c r="G34" i="7"/>
  <c r="F34" i="7"/>
  <c r="H33" i="7"/>
  <c r="G33" i="7"/>
  <c r="F33" i="7"/>
  <c r="H32" i="7"/>
  <c r="G32" i="7"/>
  <c r="F32" i="7"/>
  <c r="H31" i="7"/>
  <c r="G31" i="7"/>
  <c r="F31" i="7"/>
  <c r="H30" i="7"/>
  <c r="G30" i="7"/>
  <c r="F30" i="7"/>
  <c r="H31" i="6"/>
  <c r="H32" i="6"/>
  <c r="H33" i="6"/>
  <c r="H34" i="6"/>
  <c r="H35" i="6"/>
  <c r="H36" i="6"/>
  <c r="H30" i="6"/>
  <c r="F31" i="6"/>
  <c r="F32" i="6"/>
  <c r="F33" i="6"/>
  <c r="F34" i="6"/>
  <c r="F35" i="6"/>
  <c r="F36" i="6"/>
  <c r="F30" i="6"/>
  <c r="G36" i="6"/>
  <c r="G35" i="6"/>
  <c r="G34" i="6"/>
  <c r="G33" i="6"/>
  <c r="G32" i="6"/>
  <c r="G31" i="6"/>
  <c r="G30" i="6"/>
  <c r="H5" i="6"/>
  <c r="C6" i="4"/>
  <c r="C19" i="4" s="1"/>
  <c r="C25" i="4" s="1"/>
  <c r="C24" i="7"/>
  <c r="C23" i="7"/>
  <c r="C6" i="7"/>
  <c r="C19" i="7" s="1"/>
  <c r="C25" i="7" s="1"/>
  <c r="H5" i="7"/>
  <c r="F5" i="7"/>
  <c r="F4" i="7"/>
  <c r="C24" i="6"/>
  <c r="C23" i="6"/>
  <c r="C6" i="6"/>
  <c r="C19" i="6" s="1"/>
  <c r="C25" i="6" s="1"/>
  <c r="F5" i="6"/>
  <c r="H4" i="6"/>
  <c r="C24" i="4"/>
  <c r="C23" i="4"/>
  <c r="H5" i="4"/>
  <c r="F5" i="4"/>
  <c r="H4" i="4"/>
  <c r="F4" i="4"/>
  <c r="H18" i="2"/>
  <c r="H15" i="2"/>
  <c r="H16" i="2"/>
  <c r="H17" i="2"/>
  <c r="H14" i="2"/>
  <c r="G18" i="2"/>
  <c r="G17" i="2"/>
  <c r="G16" i="2"/>
  <c r="G15" i="2"/>
  <c r="G14" i="2"/>
  <c r="I4" i="2"/>
  <c r="I9" i="2" s="1"/>
  <c r="G7" i="2"/>
  <c r="G6" i="2"/>
  <c r="G5" i="2"/>
  <c r="G4" i="2"/>
  <c r="G9" i="2" s="1"/>
</calcChain>
</file>

<file path=xl/sharedStrings.xml><?xml version="1.0" encoding="utf-8"?>
<sst xmlns="http://schemas.openxmlformats.org/spreadsheetml/2006/main" count="238" uniqueCount="115">
  <si>
    <t>Combination #</t>
  </si>
  <si>
    <t>Preference</t>
  </si>
  <si>
    <t>Battery 1</t>
  </si>
  <si>
    <t>Battery 2</t>
  </si>
  <si>
    <t>Battery 3</t>
  </si>
  <si>
    <t>Pickup 1</t>
  </si>
  <si>
    <t>Pickup 2</t>
  </si>
  <si>
    <t>Size 1</t>
  </si>
  <si>
    <t>Size 2</t>
  </si>
  <si>
    <t>Price 1</t>
  </si>
  <si>
    <t>Price 2</t>
  </si>
  <si>
    <t>Price 3</t>
  </si>
  <si>
    <t>Battery 2
(Medium)</t>
  </si>
  <si>
    <t>Battery 3
(Large)</t>
  </si>
  <si>
    <t>Pickup 2
(Fast)</t>
  </si>
  <si>
    <t>Size 2
(Large)</t>
  </si>
  <si>
    <t>Price 2
(Medium)</t>
  </si>
  <si>
    <t>Price 3
(High)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</si>
  <si>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</si>
  <si>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</si>
  <si>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</si>
  <si>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</si>
  <si>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</si>
  <si>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</si>
  <si>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</si>
  <si>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</si>
  <si>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</si>
  <si>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</si>
  <si>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</si>
  <si>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</si>
  <si>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</si>
  <si>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</si>
  <si>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</si>
  <si>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</si>
  <si>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</si>
  <si>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</si>
  <si>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</si>
  <si>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</si>
  <si>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</si>
  <si>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</si>
  <si>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</si>
  <si>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</si>
  <si>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Attribute</t>
  </si>
  <si>
    <t>Level</t>
  </si>
  <si>
    <t>Battery</t>
  </si>
  <si>
    <t>Small (Reference)</t>
  </si>
  <si>
    <t>Medium</t>
  </si>
  <si>
    <t>Large</t>
  </si>
  <si>
    <t>Pickup</t>
  </si>
  <si>
    <t>Slow (Reference)</t>
  </si>
  <si>
    <t>Fast</t>
  </si>
  <si>
    <t>Size</t>
  </si>
  <si>
    <t>Medium (Reference)</t>
  </si>
  <si>
    <t>Price</t>
  </si>
  <si>
    <t>Low (Reference)</t>
  </si>
  <si>
    <t>High</t>
  </si>
  <si>
    <t>Utility score</t>
  </si>
  <si>
    <t>Product B</t>
  </si>
  <si>
    <t>Utility</t>
  </si>
  <si>
    <t>Product A</t>
  </si>
  <si>
    <t>Battery (Large)</t>
  </si>
  <si>
    <t>Pick Up (Fast)</t>
  </si>
  <si>
    <t>Size (Large)</t>
  </si>
  <si>
    <t>Price (High)</t>
  </si>
  <si>
    <t>Battery (Small)</t>
  </si>
  <si>
    <t>Pickup (Slow)</t>
  </si>
  <si>
    <t>Size  (Medium)</t>
  </si>
  <si>
    <t>Price (Low)</t>
  </si>
  <si>
    <t xml:space="preserve">Intercept </t>
  </si>
  <si>
    <t>Total Utility</t>
  </si>
  <si>
    <t>Column1</t>
  </si>
  <si>
    <t>Utility2</t>
  </si>
  <si>
    <t>Product A vs. Product B</t>
  </si>
  <si>
    <t>Range (Max-Min)</t>
  </si>
  <si>
    <t>Importance (%)</t>
  </si>
  <si>
    <t xml:space="preserve">Total </t>
  </si>
  <si>
    <t>Parameters</t>
  </si>
  <si>
    <t>Alpha (α)</t>
  </si>
  <si>
    <t>Profit per Basic car (£)</t>
  </si>
  <si>
    <t>Profit per Premium car (£)</t>
  </si>
  <si>
    <t>Max cars (capacity)</t>
  </si>
  <si>
    <t>Total resources available</t>
  </si>
  <si>
    <t>Resources per Basic car</t>
  </si>
  <si>
    <t>Resources per Premium car</t>
  </si>
  <si>
    <t>Decision Variables</t>
  </si>
  <si>
    <t>Basic cars to produce (B)</t>
  </si>
  <si>
    <t>Premium cars to produce (P)</t>
  </si>
  <si>
    <t>Objective Function</t>
  </si>
  <si>
    <t>Total Profit (£)   =  1·B + (1+α)·P</t>
  </si>
  <si>
    <t>Constraints</t>
  </si>
  <si>
    <t>Constraint</t>
  </si>
  <si>
    <t>LHS (Used)</t>
  </si>
  <si>
    <t>Sign</t>
  </si>
  <si>
    <t>RHS (Limit)</t>
  </si>
  <si>
    <t>Capacity:  B + P ≤ 10</t>
  </si>
  <si>
    <t>≤</t>
  </si>
  <si>
    <t>Resources:  2B + 4P ≤ 20</t>
  </si>
  <si>
    <t>Non-negativity:  B ≥ 0,  P ≥ 0</t>
  </si>
  <si>
    <t>Results (filled by Solver)</t>
  </si>
  <si>
    <t>Basic cars (B)</t>
  </si>
  <si>
    <t>Premium cars (P)</t>
  </si>
  <si>
    <t>Maximum Profit (£)</t>
  </si>
  <si>
    <t>α (Alpha)</t>
  </si>
  <si>
    <t>Profit per Premium (1+α)</t>
  </si>
  <si>
    <t>Optimal Basic (B*)</t>
  </si>
  <si>
    <t>Optimal Premium (P*)</t>
  </si>
  <si>
    <t>Max Profit (£)</t>
  </si>
  <si>
    <t>Resource Used</t>
  </si>
  <si>
    <t>Resources</t>
  </si>
  <si>
    <t>Capacity</t>
  </si>
  <si>
    <t>Binding Constraint</t>
  </si>
  <si>
    <t>Cars Produced</t>
  </si>
  <si>
    <t xml:space="preserve">Preferred Product </t>
  </si>
  <si>
    <t>Preferred :Product A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</si>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</sst>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000"/>
    <numFmt numFmtId="179" formatCode="\£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808080"/>
      <name val="Calibri"/>
      <family val="2"/>
    </font>
    <font>
      <b/>
      <sz val="11"/>
      <color theme="0"/>
      <name val="Calibri"/>
      <family val="2"/>
    </font>
    <font>
      <sz val="11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0" xfId="0" applyFill="1" applyBorder="1" applyAlignment="1"/>
    <xf numFmtId="0" fontId="0" fillId="0" borderId="4" xfId="0" applyFill="1" applyBorder="1" applyAlignment="1"/>
    <xf numFmtId="0" fontId="3" fillId="0" borderId="5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Continuous"/>
    </xf>
    <xf numFmtId="0" fontId="0" fillId="0" borderId="0" xfId="0" applyFill="1" applyBorder="1" applyAlignment="1">
      <alignment wrapText="1"/>
    </xf>
    <xf numFmtId="0" fontId="0" fillId="0" borderId="4" xfId="0" applyFill="1" applyBorder="1" applyAlignment="1">
      <alignment wrapText="1"/>
    </xf>
    <xf numFmtId="2" fontId="0" fillId="0" borderId="0" xfId="0" applyNumberFormat="1"/>
    <xf numFmtId="169" fontId="0" fillId="0" borderId="0" xfId="0" applyNumberFormat="1"/>
    <xf numFmtId="169" fontId="0" fillId="0" borderId="0" xfId="0" applyNumberFormat="1" applyFill="1" applyBorder="1" applyAlignment="1"/>
    <xf numFmtId="1" fontId="0" fillId="0" borderId="0" xfId="0" applyNumberForma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Border="1"/>
    <xf numFmtId="0" fontId="0" fillId="3" borderId="0" xfId="0" applyFont="1" applyFill="1" applyBorder="1"/>
    <xf numFmtId="0" fontId="0" fillId="0" borderId="0" xfId="0" applyFont="1" applyBorder="1"/>
    <xf numFmtId="169" fontId="0" fillId="3" borderId="0" xfId="0" applyNumberFormat="1" applyFont="1" applyFill="1" applyBorder="1"/>
    <xf numFmtId="169" fontId="0" fillId="0" borderId="0" xfId="0" applyNumberFormat="1" applyFont="1" applyBorder="1"/>
    <xf numFmtId="0" fontId="2" fillId="2" borderId="6" xfId="0" applyFont="1" applyFill="1" applyBorder="1"/>
    <xf numFmtId="9" fontId="0" fillId="0" borderId="0" xfId="1" applyFont="1"/>
    <xf numFmtId="10" fontId="0" fillId="3" borderId="0" xfId="1" applyNumberFormat="1" applyFont="1" applyFill="1" applyBorder="1"/>
    <xf numFmtId="10" fontId="0" fillId="0" borderId="0" xfId="1" applyNumberFormat="1" applyFont="1" applyBorder="1"/>
    <xf numFmtId="0" fontId="4" fillId="4" borderId="0" xfId="0" applyFont="1" applyFill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2" fontId="6" fillId="0" borderId="0" xfId="0" applyNumberFormat="1" applyFont="1"/>
    <xf numFmtId="179" fontId="5" fillId="0" borderId="0" xfId="0" applyNumberFormat="1" applyFont="1"/>
    <xf numFmtId="0" fontId="8" fillId="0" borderId="0" xfId="0" applyFont="1"/>
    <xf numFmtId="0" fontId="5" fillId="0" borderId="0" xfId="0" applyFont="1" applyAlignment="1">
      <alignment horizontal="center"/>
    </xf>
    <xf numFmtId="0" fontId="8" fillId="2" borderId="1" xfId="0" applyFont="1" applyFill="1" applyBorder="1"/>
    <xf numFmtId="0" fontId="6" fillId="3" borderId="1" xfId="0" applyFont="1" applyFill="1" applyBorder="1"/>
    <xf numFmtId="0" fontId="6" fillId="3" borderId="3" xfId="0" applyFont="1" applyFill="1" applyBorder="1"/>
    <xf numFmtId="0" fontId="6" fillId="0" borderId="1" xfId="0" applyFont="1" applyBorder="1"/>
    <xf numFmtId="0" fontId="6" fillId="0" borderId="3" xfId="0" applyFont="1" applyBorder="1"/>
    <xf numFmtId="2" fontId="6" fillId="3" borderId="3" xfId="0" applyNumberFormat="1" applyFont="1" applyFill="1" applyBorder="1"/>
    <xf numFmtId="0" fontId="9" fillId="0" borderId="0" xfId="0" applyFont="1"/>
    <xf numFmtId="1" fontId="6" fillId="3" borderId="3" xfId="0" applyNumberFormat="1" applyFont="1" applyFill="1" applyBorder="1"/>
    <xf numFmtId="0" fontId="8" fillId="2" borderId="1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</cellXfs>
  <cellStyles count="2">
    <cellStyle name="Normal" xfId="0" builtinId="0"/>
    <cellStyle name="Per cent" xfId="1" builtinId="5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\£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\£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\£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top style="thin">
          <color theme="4" tint="0.39997558519241921"/>
        </top>
      </border>
    </dxf>
    <dxf>
      <numFmt numFmtId="169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2CC"/>
          <bgColor theme="0"/>
        </patternFill>
      </fill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2CC"/>
          <bgColor theme="0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</xdr:row>
      <xdr:rowOff>0</xdr:rowOff>
    </xdr:from>
    <xdr:to>
      <xdr:col>3</xdr:col>
      <xdr:colOff>0</xdr:colOff>
      <xdr:row>16</xdr:row>
      <xdr:rowOff>0</xdr:rowOff>
    </xdr:to>
    <xdr:sp macro="" textlink="">
      <xdr:nvSpPr>
        <xdr:cNvPr id="37" name="OpenSolver1">
          <a:extLst>
            <a:ext uri="{FF2B5EF4-FFF2-40B4-BE49-F238E27FC236}">
              <a16:creationId xmlns:a16="http://schemas.microsoft.com/office/drawing/2014/main" id="{5E5A85CE-D01B-C433-345D-B5A4C18C3144}"/>
            </a:ext>
          </a:extLst>
        </xdr:cNvPr>
        <xdr:cNvSpPr/>
      </xdr:nvSpPr>
      <xdr:spPr>
        <a:xfrm>
          <a:off x="4038600" y="2667000"/>
          <a:ext cx="1714500" cy="381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GB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sp macro="" textlink="">
      <xdr:nvSpPr>
        <xdr:cNvPr id="38" name="OpenSolver2">
          <a:extLst>
            <a:ext uri="{FF2B5EF4-FFF2-40B4-BE49-F238E27FC236}">
              <a16:creationId xmlns:a16="http://schemas.microsoft.com/office/drawing/2014/main" id="{F0FC3F15-F8E8-953C-051A-5234FA8D54F9}"/>
            </a:ext>
          </a:extLst>
        </xdr:cNvPr>
        <xdr:cNvSpPr/>
      </xdr:nvSpPr>
      <xdr:spPr>
        <a:xfrm>
          <a:off x="4038600" y="3429000"/>
          <a:ext cx="1714500" cy="1905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GB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1</xdr:col>
      <xdr:colOff>3200400</xdr:colOff>
      <xdr:row>17</xdr:row>
      <xdr:rowOff>114300</xdr:rowOff>
    </xdr:from>
    <xdr:to>
      <xdr:col>2</xdr:col>
      <xdr:colOff>236535</xdr:colOff>
      <xdr:row>18</xdr:row>
      <xdr:rowOff>50800</xdr:rowOff>
    </xdr:to>
    <xdr:sp macro="" textlink="">
      <xdr:nvSpPr>
        <xdr:cNvPr id="39" name="OpenSolver3">
          <a:extLst>
            <a:ext uri="{FF2B5EF4-FFF2-40B4-BE49-F238E27FC236}">
              <a16:creationId xmlns:a16="http://schemas.microsoft.com/office/drawing/2014/main" id="{A2CC5A5F-5DA9-A273-9A29-EBD7A3D3403A}"/>
            </a:ext>
          </a:extLst>
        </xdr:cNvPr>
        <xdr:cNvSpPr/>
      </xdr:nvSpPr>
      <xdr:spPr>
        <a:xfrm>
          <a:off x="4025900" y="3352800"/>
          <a:ext cx="249235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max 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40" name="OpenSolver4">
          <a:extLst>
            <a:ext uri="{FF2B5EF4-FFF2-40B4-BE49-F238E27FC236}">
              <a16:creationId xmlns:a16="http://schemas.microsoft.com/office/drawing/2014/main" id="{2569E533-71FC-7372-18FD-492D72F80BD1}"/>
            </a:ext>
          </a:extLst>
        </xdr:cNvPr>
        <xdr:cNvSpPr/>
      </xdr:nvSpPr>
      <xdr:spPr>
        <a:xfrm>
          <a:off x="10236200" y="571500"/>
          <a:ext cx="1054100" cy="19050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GB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0</xdr:colOff>
      <xdr:row>3</xdr:row>
      <xdr:rowOff>0</xdr:rowOff>
    </xdr:from>
    <xdr:to>
      <xdr:col>8</xdr:col>
      <xdr:colOff>0</xdr:colOff>
      <xdr:row>4</xdr:row>
      <xdr:rowOff>0</xdr:rowOff>
    </xdr:to>
    <xdr:sp macro="" textlink="">
      <xdr:nvSpPr>
        <xdr:cNvPr id="41" name="OpenSolver5">
          <a:extLst>
            <a:ext uri="{FF2B5EF4-FFF2-40B4-BE49-F238E27FC236}">
              <a16:creationId xmlns:a16="http://schemas.microsoft.com/office/drawing/2014/main" id="{A334B67F-9713-28BC-44D6-53A78A45C212}"/>
            </a:ext>
          </a:extLst>
        </xdr:cNvPr>
        <xdr:cNvSpPr/>
      </xdr:nvSpPr>
      <xdr:spPr>
        <a:xfrm>
          <a:off x="13182600" y="571500"/>
          <a:ext cx="825500" cy="19050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GB" sz="1100" b="1">
              <a:solidFill>
                <a:srgbClr val="0000FF"/>
              </a:solidFill>
            </a:rPr>
            <a:t>≤</a:t>
          </a:r>
        </a:p>
      </xdr:txBody>
    </xdr:sp>
    <xdr:clientData/>
  </xdr:twoCellAnchor>
  <xdr:twoCellAnchor>
    <xdr:from>
      <xdr:col>6</xdr:col>
      <xdr:colOff>0</xdr:colOff>
      <xdr:row>3</xdr:row>
      <xdr:rowOff>95250</xdr:rowOff>
    </xdr:from>
    <xdr:to>
      <xdr:col>7</xdr:col>
      <xdr:colOff>0</xdr:colOff>
      <xdr:row>3</xdr:row>
      <xdr:rowOff>95250</xdr:rowOff>
    </xdr:to>
    <xdr:cxnSp macro="">
      <xdr:nvCxnSpPr>
        <xdr:cNvPr id="42" name="OpenSolver6">
          <a:extLst>
            <a:ext uri="{FF2B5EF4-FFF2-40B4-BE49-F238E27FC236}">
              <a16:creationId xmlns:a16="http://schemas.microsoft.com/office/drawing/2014/main" id="{71F5069E-1E40-19AB-9C13-4D8C59A7C163}"/>
            </a:ext>
          </a:extLst>
        </xdr:cNvPr>
        <xdr:cNvCxnSpPr>
          <a:stCxn id="40" idx="3"/>
          <a:endCxn id="41" idx="1"/>
        </xdr:cNvCxnSpPr>
      </xdr:nvCxnSpPr>
      <xdr:spPr>
        <a:xfrm>
          <a:off x="11290300" y="666750"/>
          <a:ext cx="1892300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755650</xdr:colOff>
      <xdr:row>2</xdr:row>
      <xdr:rowOff>158750</xdr:rowOff>
    </xdr:from>
    <xdr:to>
      <xdr:col>6</xdr:col>
      <xdr:colOff>1136650</xdr:colOff>
      <xdr:row>4</xdr:row>
      <xdr:rowOff>31750</xdr:rowOff>
    </xdr:to>
    <xdr:sp macro="" textlink="">
      <xdr:nvSpPr>
        <xdr:cNvPr id="43" name="OpenSolver7">
          <a:extLst>
            <a:ext uri="{FF2B5EF4-FFF2-40B4-BE49-F238E27FC236}">
              <a16:creationId xmlns:a16="http://schemas.microsoft.com/office/drawing/2014/main" id="{125C9163-64C1-ED98-C2E4-64CBF1F9C945}"/>
            </a:ext>
          </a:extLst>
        </xdr:cNvPr>
        <xdr:cNvSpPr/>
      </xdr:nvSpPr>
      <xdr:spPr>
        <a:xfrm>
          <a:off x="12045950" y="53975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0</xdr:colOff>
      <xdr:row>4</xdr:row>
      <xdr:rowOff>0</xdr:rowOff>
    </xdr:from>
    <xdr:to>
      <xdr:col>6</xdr:col>
      <xdr:colOff>0</xdr:colOff>
      <xdr:row>5</xdr:row>
      <xdr:rowOff>0</xdr:rowOff>
    </xdr:to>
    <xdr:sp macro="" textlink="">
      <xdr:nvSpPr>
        <xdr:cNvPr id="44" name="OpenSolver8">
          <a:extLst>
            <a:ext uri="{FF2B5EF4-FFF2-40B4-BE49-F238E27FC236}">
              <a16:creationId xmlns:a16="http://schemas.microsoft.com/office/drawing/2014/main" id="{75DF9743-9140-8F5D-5366-1183C2ECD31D}"/>
            </a:ext>
          </a:extLst>
        </xdr:cNvPr>
        <xdr:cNvSpPr/>
      </xdr:nvSpPr>
      <xdr:spPr>
        <a:xfrm>
          <a:off x="10236200" y="762000"/>
          <a:ext cx="1054100" cy="19050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GB" sz="1100" b="1">
            <a:solidFill>
              <a:srgbClr val="008000"/>
            </a:solidFill>
          </a:endParaRPr>
        </a:p>
      </xdr:txBody>
    </xdr:sp>
    <xdr:clientData/>
  </xdr:twoCellAnchor>
  <xdr:twoCellAnchor>
    <xdr:from>
      <xdr:col>7</xdr:col>
      <xdr:colOff>0</xdr:colOff>
      <xdr:row>4</xdr:row>
      <xdr:rowOff>0</xdr:rowOff>
    </xdr:from>
    <xdr:to>
      <xdr:col>8</xdr:col>
      <xdr:colOff>0</xdr:colOff>
      <xdr:row>5</xdr:row>
      <xdr:rowOff>0</xdr:rowOff>
    </xdr:to>
    <xdr:sp macro="" textlink="">
      <xdr:nvSpPr>
        <xdr:cNvPr id="45" name="OpenSolver9">
          <a:extLst>
            <a:ext uri="{FF2B5EF4-FFF2-40B4-BE49-F238E27FC236}">
              <a16:creationId xmlns:a16="http://schemas.microsoft.com/office/drawing/2014/main" id="{78C6989D-9215-4183-3291-D58DB2E1BC1B}"/>
            </a:ext>
          </a:extLst>
        </xdr:cNvPr>
        <xdr:cNvSpPr/>
      </xdr:nvSpPr>
      <xdr:spPr>
        <a:xfrm>
          <a:off x="13182600" y="762000"/>
          <a:ext cx="825500" cy="19050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GB" sz="1100" b="1">
              <a:solidFill>
                <a:srgbClr val="008000"/>
              </a:solidFill>
            </a:rPr>
            <a:t>≤</a:t>
          </a:r>
        </a:p>
      </xdr:txBody>
    </xdr:sp>
    <xdr:clientData/>
  </xdr:twoCellAnchor>
  <xdr:twoCellAnchor>
    <xdr:from>
      <xdr:col>6</xdr:col>
      <xdr:colOff>0</xdr:colOff>
      <xdr:row>4</xdr:row>
      <xdr:rowOff>95250</xdr:rowOff>
    </xdr:from>
    <xdr:to>
      <xdr:col>7</xdr:col>
      <xdr:colOff>0</xdr:colOff>
      <xdr:row>4</xdr:row>
      <xdr:rowOff>95250</xdr:rowOff>
    </xdr:to>
    <xdr:cxnSp macro="">
      <xdr:nvCxnSpPr>
        <xdr:cNvPr id="46" name="OpenSolver10">
          <a:extLst>
            <a:ext uri="{FF2B5EF4-FFF2-40B4-BE49-F238E27FC236}">
              <a16:creationId xmlns:a16="http://schemas.microsoft.com/office/drawing/2014/main" id="{3686F095-B5B1-9D9A-CBCD-77631F8B3650}"/>
            </a:ext>
          </a:extLst>
        </xdr:cNvPr>
        <xdr:cNvCxnSpPr>
          <a:stCxn id="44" idx="3"/>
          <a:endCxn id="45" idx="1"/>
        </xdr:cNvCxnSpPr>
      </xdr:nvCxnSpPr>
      <xdr:spPr>
        <a:xfrm>
          <a:off x="11290300" y="857250"/>
          <a:ext cx="1892300" cy="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755650</xdr:colOff>
      <xdr:row>3</xdr:row>
      <xdr:rowOff>158750</xdr:rowOff>
    </xdr:from>
    <xdr:to>
      <xdr:col>6</xdr:col>
      <xdr:colOff>1136650</xdr:colOff>
      <xdr:row>5</xdr:row>
      <xdr:rowOff>31750</xdr:rowOff>
    </xdr:to>
    <xdr:sp macro="" textlink="">
      <xdr:nvSpPr>
        <xdr:cNvPr id="47" name="OpenSolver11">
          <a:extLst>
            <a:ext uri="{FF2B5EF4-FFF2-40B4-BE49-F238E27FC236}">
              <a16:creationId xmlns:a16="http://schemas.microsoft.com/office/drawing/2014/main" id="{4AB6504D-8F37-E824-26E9-06812A94A2A4}"/>
            </a:ext>
          </a:extLst>
        </xdr:cNvPr>
        <xdr:cNvSpPr/>
      </xdr:nvSpPr>
      <xdr:spPr>
        <a:xfrm>
          <a:off x="12045950" y="73025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</xdr:row>
      <xdr:rowOff>0</xdr:rowOff>
    </xdr:from>
    <xdr:to>
      <xdr:col>3</xdr:col>
      <xdr:colOff>0</xdr:colOff>
      <xdr:row>16</xdr:row>
      <xdr:rowOff>0</xdr:rowOff>
    </xdr:to>
    <xdr:sp macro="" textlink="">
      <xdr:nvSpPr>
        <xdr:cNvPr id="24" name="OpenSolver1">
          <a:extLst>
            <a:ext uri="{FF2B5EF4-FFF2-40B4-BE49-F238E27FC236}">
              <a16:creationId xmlns:a16="http://schemas.microsoft.com/office/drawing/2014/main" id="{A15ADA9F-74F6-1D0B-BB49-2B60A2B39779}"/>
            </a:ext>
          </a:extLst>
        </xdr:cNvPr>
        <xdr:cNvSpPr/>
      </xdr:nvSpPr>
      <xdr:spPr>
        <a:xfrm>
          <a:off x="4038600" y="2667000"/>
          <a:ext cx="1562100" cy="381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GB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sp macro="" textlink="">
      <xdr:nvSpPr>
        <xdr:cNvPr id="25" name="OpenSolver2">
          <a:extLst>
            <a:ext uri="{FF2B5EF4-FFF2-40B4-BE49-F238E27FC236}">
              <a16:creationId xmlns:a16="http://schemas.microsoft.com/office/drawing/2014/main" id="{FD9E100C-D8F1-BC67-4649-2ADB49DBFC4D}"/>
            </a:ext>
          </a:extLst>
        </xdr:cNvPr>
        <xdr:cNvSpPr/>
      </xdr:nvSpPr>
      <xdr:spPr>
        <a:xfrm>
          <a:off x="4038600" y="3429000"/>
          <a:ext cx="1562100" cy="1905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GB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1</xdr:col>
      <xdr:colOff>3200400</xdr:colOff>
      <xdr:row>17</xdr:row>
      <xdr:rowOff>114300</xdr:rowOff>
    </xdr:from>
    <xdr:to>
      <xdr:col>2</xdr:col>
      <xdr:colOff>236535</xdr:colOff>
      <xdr:row>18</xdr:row>
      <xdr:rowOff>50800</xdr:rowOff>
    </xdr:to>
    <xdr:sp macro="" textlink="">
      <xdr:nvSpPr>
        <xdr:cNvPr id="26" name="OpenSolver3">
          <a:extLst>
            <a:ext uri="{FF2B5EF4-FFF2-40B4-BE49-F238E27FC236}">
              <a16:creationId xmlns:a16="http://schemas.microsoft.com/office/drawing/2014/main" id="{CBEE79DA-14E4-8965-ED9F-B24109409CAB}"/>
            </a:ext>
          </a:extLst>
        </xdr:cNvPr>
        <xdr:cNvSpPr/>
      </xdr:nvSpPr>
      <xdr:spPr>
        <a:xfrm>
          <a:off x="4025900" y="3352800"/>
          <a:ext cx="249235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max 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27" name="OpenSolver4">
          <a:extLst>
            <a:ext uri="{FF2B5EF4-FFF2-40B4-BE49-F238E27FC236}">
              <a16:creationId xmlns:a16="http://schemas.microsoft.com/office/drawing/2014/main" id="{DC9C45ED-C05B-1FB2-94DC-464FD82EFCA2}"/>
            </a:ext>
          </a:extLst>
        </xdr:cNvPr>
        <xdr:cNvSpPr/>
      </xdr:nvSpPr>
      <xdr:spPr>
        <a:xfrm>
          <a:off x="10083800" y="571500"/>
          <a:ext cx="825500" cy="19050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GB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0</xdr:colOff>
      <xdr:row>3</xdr:row>
      <xdr:rowOff>0</xdr:rowOff>
    </xdr:from>
    <xdr:to>
      <xdr:col>8</xdr:col>
      <xdr:colOff>0</xdr:colOff>
      <xdr:row>4</xdr:row>
      <xdr:rowOff>0</xdr:rowOff>
    </xdr:to>
    <xdr:sp macro="" textlink="">
      <xdr:nvSpPr>
        <xdr:cNvPr id="28" name="OpenSolver5">
          <a:extLst>
            <a:ext uri="{FF2B5EF4-FFF2-40B4-BE49-F238E27FC236}">
              <a16:creationId xmlns:a16="http://schemas.microsoft.com/office/drawing/2014/main" id="{F691E2DE-85DF-A2DC-D6FD-00110C3A6A8B}"/>
            </a:ext>
          </a:extLst>
        </xdr:cNvPr>
        <xdr:cNvSpPr/>
      </xdr:nvSpPr>
      <xdr:spPr>
        <a:xfrm>
          <a:off x="12801600" y="571500"/>
          <a:ext cx="927100" cy="19050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GB" sz="1100" b="1">
              <a:solidFill>
                <a:srgbClr val="0000FF"/>
              </a:solidFill>
            </a:rPr>
            <a:t>≤</a:t>
          </a:r>
        </a:p>
      </xdr:txBody>
    </xdr:sp>
    <xdr:clientData/>
  </xdr:twoCellAnchor>
  <xdr:twoCellAnchor>
    <xdr:from>
      <xdr:col>6</xdr:col>
      <xdr:colOff>0</xdr:colOff>
      <xdr:row>3</xdr:row>
      <xdr:rowOff>95250</xdr:rowOff>
    </xdr:from>
    <xdr:to>
      <xdr:col>7</xdr:col>
      <xdr:colOff>0</xdr:colOff>
      <xdr:row>3</xdr:row>
      <xdr:rowOff>95250</xdr:rowOff>
    </xdr:to>
    <xdr:cxnSp macro="">
      <xdr:nvCxnSpPr>
        <xdr:cNvPr id="29" name="OpenSolver6">
          <a:extLst>
            <a:ext uri="{FF2B5EF4-FFF2-40B4-BE49-F238E27FC236}">
              <a16:creationId xmlns:a16="http://schemas.microsoft.com/office/drawing/2014/main" id="{B416D2F3-E0D9-66EA-1F35-EAB038BA3E3C}"/>
            </a:ext>
          </a:extLst>
        </xdr:cNvPr>
        <xdr:cNvCxnSpPr>
          <a:stCxn id="27" idx="3"/>
          <a:endCxn id="28" idx="1"/>
        </xdr:cNvCxnSpPr>
      </xdr:nvCxnSpPr>
      <xdr:spPr>
        <a:xfrm>
          <a:off x="10909300" y="666750"/>
          <a:ext cx="1892300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755650</xdr:colOff>
      <xdr:row>2</xdr:row>
      <xdr:rowOff>158750</xdr:rowOff>
    </xdr:from>
    <xdr:to>
      <xdr:col>6</xdr:col>
      <xdr:colOff>1136650</xdr:colOff>
      <xdr:row>4</xdr:row>
      <xdr:rowOff>31750</xdr:rowOff>
    </xdr:to>
    <xdr:sp macro="" textlink="">
      <xdr:nvSpPr>
        <xdr:cNvPr id="30" name="OpenSolver7">
          <a:extLst>
            <a:ext uri="{FF2B5EF4-FFF2-40B4-BE49-F238E27FC236}">
              <a16:creationId xmlns:a16="http://schemas.microsoft.com/office/drawing/2014/main" id="{B7F395B5-DBE7-4676-99C5-54BD644A45D5}"/>
            </a:ext>
          </a:extLst>
        </xdr:cNvPr>
        <xdr:cNvSpPr/>
      </xdr:nvSpPr>
      <xdr:spPr>
        <a:xfrm>
          <a:off x="11664950" y="53975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0</xdr:colOff>
      <xdr:row>4</xdr:row>
      <xdr:rowOff>0</xdr:rowOff>
    </xdr:from>
    <xdr:to>
      <xdr:col>6</xdr:col>
      <xdr:colOff>0</xdr:colOff>
      <xdr:row>5</xdr:row>
      <xdr:rowOff>0</xdr:rowOff>
    </xdr:to>
    <xdr:sp macro="" textlink="">
      <xdr:nvSpPr>
        <xdr:cNvPr id="31" name="OpenSolver8">
          <a:extLst>
            <a:ext uri="{FF2B5EF4-FFF2-40B4-BE49-F238E27FC236}">
              <a16:creationId xmlns:a16="http://schemas.microsoft.com/office/drawing/2014/main" id="{18CF0962-BEFB-A4F4-32C2-F0EFCAFD89D9}"/>
            </a:ext>
          </a:extLst>
        </xdr:cNvPr>
        <xdr:cNvSpPr/>
      </xdr:nvSpPr>
      <xdr:spPr>
        <a:xfrm>
          <a:off x="10083800" y="762000"/>
          <a:ext cx="825500" cy="19050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GB" sz="1100" b="1">
            <a:solidFill>
              <a:srgbClr val="008000"/>
            </a:solidFill>
          </a:endParaRPr>
        </a:p>
      </xdr:txBody>
    </xdr:sp>
    <xdr:clientData/>
  </xdr:twoCellAnchor>
  <xdr:twoCellAnchor>
    <xdr:from>
      <xdr:col>7</xdr:col>
      <xdr:colOff>0</xdr:colOff>
      <xdr:row>4</xdr:row>
      <xdr:rowOff>0</xdr:rowOff>
    </xdr:from>
    <xdr:to>
      <xdr:col>8</xdr:col>
      <xdr:colOff>0</xdr:colOff>
      <xdr:row>5</xdr:row>
      <xdr:rowOff>0</xdr:rowOff>
    </xdr:to>
    <xdr:sp macro="" textlink="">
      <xdr:nvSpPr>
        <xdr:cNvPr id="32" name="OpenSolver9">
          <a:extLst>
            <a:ext uri="{FF2B5EF4-FFF2-40B4-BE49-F238E27FC236}">
              <a16:creationId xmlns:a16="http://schemas.microsoft.com/office/drawing/2014/main" id="{0A733AEF-FCCC-D001-1C06-A60D6B7CBFD4}"/>
            </a:ext>
          </a:extLst>
        </xdr:cNvPr>
        <xdr:cNvSpPr/>
      </xdr:nvSpPr>
      <xdr:spPr>
        <a:xfrm>
          <a:off x="12801600" y="762000"/>
          <a:ext cx="927100" cy="19050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GB" sz="1100" b="1">
              <a:solidFill>
                <a:srgbClr val="008000"/>
              </a:solidFill>
            </a:rPr>
            <a:t>≤</a:t>
          </a:r>
        </a:p>
      </xdr:txBody>
    </xdr:sp>
    <xdr:clientData/>
  </xdr:twoCellAnchor>
  <xdr:twoCellAnchor>
    <xdr:from>
      <xdr:col>6</xdr:col>
      <xdr:colOff>0</xdr:colOff>
      <xdr:row>4</xdr:row>
      <xdr:rowOff>95250</xdr:rowOff>
    </xdr:from>
    <xdr:to>
      <xdr:col>7</xdr:col>
      <xdr:colOff>0</xdr:colOff>
      <xdr:row>4</xdr:row>
      <xdr:rowOff>95250</xdr:rowOff>
    </xdr:to>
    <xdr:cxnSp macro="">
      <xdr:nvCxnSpPr>
        <xdr:cNvPr id="33" name="OpenSolver10">
          <a:extLst>
            <a:ext uri="{FF2B5EF4-FFF2-40B4-BE49-F238E27FC236}">
              <a16:creationId xmlns:a16="http://schemas.microsoft.com/office/drawing/2014/main" id="{75CC66AB-FD96-5708-396C-4E356603CDBB}"/>
            </a:ext>
          </a:extLst>
        </xdr:cNvPr>
        <xdr:cNvCxnSpPr>
          <a:stCxn id="31" idx="3"/>
          <a:endCxn id="32" idx="1"/>
        </xdr:cNvCxnSpPr>
      </xdr:nvCxnSpPr>
      <xdr:spPr>
        <a:xfrm>
          <a:off x="10909300" y="857250"/>
          <a:ext cx="1892300" cy="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755650</xdr:colOff>
      <xdr:row>3</xdr:row>
      <xdr:rowOff>158750</xdr:rowOff>
    </xdr:from>
    <xdr:to>
      <xdr:col>6</xdr:col>
      <xdr:colOff>1136650</xdr:colOff>
      <xdr:row>5</xdr:row>
      <xdr:rowOff>31750</xdr:rowOff>
    </xdr:to>
    <xdr:sp macro="" textlink="">
      <xdr:nvSpPr>
        <xdr:cNvPr id="34" name="OpenSolver11">
          <a:extLst>
            <a:ext uri="{FF2B5EF4-FFF2-40B4-BE49-F238E27FC236}">
              <a16:creationId xmlns:a16="http://schemas.microsoft.com/office/drawing/2014/main" id="{E6078772-3787-AEFB-E764-83E58690B5F7}"/>
            </a:ext>
          </a:extLst>
        </xdr:cNvPr>
        <xdr:cNvSpPr/>
      </xdr:nvSpPr>
      <xdr:spPr>
        <a:xfrm>
          <a:off x="11664950" y="73025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12700</xdr:colOff>
      <xdr:row>14</xdr:row>
      <xdr:rowOff>12700</xdr:rowOff>
    </xdr:from>
    <xdr:to>
      <xdr:col>2</xdr:col>
      <xdr:colOff>64830</xdr:colOff>
      <xdr:row>14</xdr:row>
      <xdr:rowOff>127000</xdr:rowOff>
    </xdr:to>
    <xdr:sp macro="" textlink="">
      <xdr:nvSpPr>
        <xdr:cNvPr id="35" name="OpenSolver12">
          <a:extLst>
            <a:ext uri="{FF2B5EF4-FFF2-40B4-BE49-F238E27FC236}">
              <a16:creationId xmlns:a16="http://schemas.microsoft.com/office/drawing/2014/main" id="{274E21C3-745F-42FB-E110-7ABBA8BDEBCF}"/>
            </a:ext>
          </a:extLst>
        </xdr:cNvPr>
        <xdr:cNvSpPr/>
      </xdr:nvSpPr>
      <xdr:spPr>
        <a:xfrm>
          <a:off x="4051300" y="26797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2</xdr:col>
      <xdr:colOff>12700</xdr:colOff>
      <xdr:row>15</xdr:row>
      <xdr:rowOff>12700</xdr:rowOff>
    </xdr:from>
    <xdr:to>
      <xdr:col>2</xdr:col>
      <xdr:colOff>64830</xdr:colOff>
      <xdr:row>15</xdr:row>
      <xdr:rowOff>127000</xdr:rowOff>
    </xdr:to>
    <xdr:sp macro="" textlink="">
      <xdr:nvSpPr>
        <xdr:cNvPr id="36" name="OpenSolver13">
          <a:extLst>
            <a:ext uri="{FF2B5EF4-FFF2-40B4-BE49-F238E27FC236}">
              <a16:creationId xmlns:a16="http://schemas.microsoft.com/office/drawing/2014/main" id="{1B9E9942-FD64-35D6-959F-B1DD13D67EA5}"/>
            </a:ext>
          </a:extLst>
        </xdr:cNvPr>
        <xdr:cNvSpPr/>
      </xdr:nvSpPr>
      <xdr:spPr>
        <a:xfrm>
          <a:off x="4051300" y="28702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</xdr:row>
      <xdr:rowOff>0</xdr:rowOff>
    </xdr:from>
    <xdr:to>
      <xdr:col>3</xdr:col>
      <xdr:colOff>0</xdr:colOff>
      <xdr:row>16</xdr:row>
      <xdr:rowOff>0</xdr:rowOff>
    </xdr:to>
    <xdr:sp macro="" textlink="">
      <xdr:nvSpPr>
        <xdr:cNvPr id="2" name="OpenSolver1">
          <a:extLst>
            <a:ext uri="{FF2B5EF4-FFF2-40B4-BE49-F238E27FC236}">
              <a16:creationId xmlns:a16="http://schemas.microsoft.com/office/drawing/2014/main" id="{5D1AB051-E0C9-AD60-B55E-9110E20BE9F3}"/>
            </a:ext>
          </a:extLst>
        </xdr:cNvPr>
        <xdr:cNvSpPr/>
      </xdr:nvSpPr>
      <xdr:spPr>
        <a:xfrm>
          <a:off x="4038600" y="2667000"/>
          <a:ext cx="825500" cy="381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GB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sp macro="" textlink="">
      <xdr:nvSpPr>
        <xdr:cNvPr id="3" name="OpenSolver2">
          <a:extLst>
            <a:ext uri="{FF2B5EF4-FFF2-40B4-BE49-F238E27FC236}">
              <a16:creationId xmlns:a16="http://schemas.microsoft.com/office/drawing/2014/main" id="{9A0A1C9B-6330-9DA9-8047-930447664257}"/>
            </a:ext>
          </a:extLst>
        </xdr:cNvPr>
        <xdr:cNvSpPr/>
      </xdr:nvSpPr>
      <xdr:spPr>
        <a:xfrm>
          <a:off x="4038600" y="3429000"/>
          <a:ext cx="825500" cy="1905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GB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1</xdr:col>
      <xdr:colOff>3200400</xdr:colOff>
      <xdr:row>17</xdr:row>
      <xdr:rowOff>114300</xdr:rowOff>
    </xdr:from>
    <xdr:to>
      <xdr:col>2</xdr:col>
      <xdr:colOff>236535</xdr:colOff>
      <xdr:row>18</xdr:row>
      <xdr:rowOff>50800</xdr:rowOff>
    </xdr:to>
    <xdr:sp macro="" textlink="">
      <xdr:nvSpPr>
        <xdr:cNvPr id="4" name="OpenSolver3">
          <a:extLst>
            <a:ext uri="{FF2B5EF4-FFF2-40B4-BE49-F238E27FC236}">
              <a16:creationId xmlns:a16="http://schemas.microsoft.com/office/drawing/2014/main" id="{8598EDD4-D549-1427-CFC8-E2BB6A9A8597}"/>
            </a:ext>
          </a:extLst>
        </xdr:cNvPr>
        <xdr:cNvSpPr/>
      </xdr:nvSpPr>
      <xdr:spPr>
        <a:xfrm>
          <a:off x="4025900" y="3352800"/>
          <a:ext cx="249235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max 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0</xdr:colOff>
      <xdr:row>5</xdr:row>
      <xdr:rowOff>0</xdr:rowOff>
    </xdr:to>
    <xdr:sp macro="" textlink="">
      <xdr:nvSpPr>
        <xdr:cNvPr id="5" name="OpenSolver4">
          <a:extLst>
            <a:ext uri="{FF2B5EF4-FFF2-40B4-BE49-F238E27FC236}">
              <a16:creationId xmlns:a16="http://schemas.microsoft.com/office/drawing/2014/main" id="{326A443D-D713-FA1E-D27B-81905FB169CD}"/>
            </a:ext>
          </a:extLst>
        </xdr:cNvPr>
        <xdr:cNvSpPr/>
      </xdr:nvSpPr>
      <xdr:spPr>
        <a:xfrm>
          <a:off x="9347200" y="571500"/>
          <a:ext cx="825500" cy="38100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GB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0</xdr:colOff>
      <xdr:row>3</xdr:row>
      <xdr:rowOff>0</xdr:rowOff>
    </xdr:from>
    <xdr:to>
      <xdr:col>8</xdr:col>
      <xdr:colOff>0</xdr:colOff>
      <xdr:row>5</xdr:row>
      <xdr:rowOff>0</xdr:rowOff>
    </xdr:to>
    <xdr:sp macro="" textlink="">
      <xdr:nvSpPr>
        <xdr:cNvPr id="6" name="OpenSolver5">
          <a:extLst>
            <a:ext uri="{FF2B5EF4-FFF2-40B4-BE49-F238E27FC236}">
              <a16:creationId xmlns:a16="http://schemas.microsoft.com/office/drawing/2014/main" id="{AC3D26BC-1F40-4DF2-E356-BA5C0C2B0C19}"/>
            </a:ext>
          </a:extLst>
        </xdr:cNvPr>
        <xdr:cNvSpPr/>
      </xdr:nvSpPr>
      <xdr:spPr>
        <a:xfrm>
          <a:off x="12065000" y="571500"/>
          <a:ext cx="825500" cy="38100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GB" sz="1100" b="1">
              <a:solidFill>
                <a:srgbClr val="0000FF"/>
              </a:solidFill>
            </a:rPr>
            <a:t>≤</a:t>
          </a:r>
        </a:p>
      </xdr:txBody>
    </xdr:sp>
    <xdr:clientData/>
  </xdr:twoCellAnchor>
  <xdr:twoCellAnchor>
    <xdr:from>
      <xdr:col>6</xdr:col>
      <xdr:colOff>0</xdr:colOff>
      <xdr:row>4</xdr:row>
      <xdr:rowOff>0</xdr:rowOff>
    </xdr:from>
    <xdr:to>
      <xdr:col>7</xdr:col>
      <xdr:colOff>0</xdr:colOff>
      <xdr:row>4</xdr:row>
      <xdr:rowOff>0</xdr:rowOff>
    </xdr:to>
    <xdr:cxnSp macro="">
      <xdr:nvCxnSpPr>
        <xdr:cNvPr id="7" name="OpenSolver6">
          <a:extLst>
            <a:ext uri="{FF2B5EF4-FFF2-40B4-BE49-F238E27FC236}">
              <a16:creationId xmlns:a16="http://schemas.microsoft.com/office/drawing/2014/main" id="{77417A5B-2DCF-42DE-08D8-01CD62354833}"/>
            </a:ext>
          </a:extLst>
        </xdr:cNvPr>
        <xdr:cNvCxnSpPr>
          <a:stCxn id="5" idx="3"/>
          <a:endCxn id="6" idx="1"/>
        </xdr:cNvCxnSpPr>
      </xdr:nvCxnSpPr>
      <xdr:spPr>
        <a:xfrm>
          <a:off x="10172700" y="762000"/>
          <a:ext cx="1892300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755650</xdr:colOff>
      <xdr:row>3</xdr:row>
      <xdr:rowOff>63500</xdr:rowOff>
    </xdr:from>
    <xdr:to>
      <xdr:col>6</xdr:col>
      <xdr:colOff>1136650</xdr:colOff>
      <xdr:row>4</xdr:row>
      <xdr:rowOff>127000</xdr:rowOff>
    </xdr:to>
    <xdr:sp macro="" textlink="">
      <xdr:nvSpPr>
        <xdr:cNvPr id="8" name="OpenSolver7">
          <a:extLst>
            <a:ext uri="{FF2B5EF4-FFF2-40B4-BE49-F238E27FC236}">
              <a16:creationId xmlns:a16="http://schemas.microsoft.com/office/drawing/2014/main" id="{9A5FC39C-EBC8-C70D-29FE-3C48C714A405}"/>
            </a:ext>
          </a:extLst>
        </xdr:cNvPr>
        <xdr:cNvSpPr/>
      </xdr:nvSpPr>
      <xdr:spPr>
        <a:xfrm>
          <a:off x="10928350" y="63500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12700</xdr:colOff>
      <xdr:row>14</xdr:row>
      <xdr:rowOff>12700</xdr:rowOff>
    </xdr:from>
    <xdr:to>
      <xdr:col>2</xdr:col>
      <xdr:colOff>64830</xdr:colOff>
      <xdr:row>14</xdr:row>
      <xdr:rowOff>127000</xdr:rowOff>
    </xdr:to>
    <xdr:sp macro="" textlink="">
      <xdr:nvSpPr>
        <xdr:cNvPr id="9" name="OpenSolver8">
          <a:extLst>
            <a:ext uri="{FF2B5EF4-FFF2-40B4-BE49-F238E27FC236}">
              <a16:creationId xmlns:a16="http://schemas.microsoft.com/office/drawing/2014/main" id="{9B3899B5-BB7A-90BF-FBC5-E91329274BE8}"/>
            </a:ext>
          </a:extLst>
        </xdr:cNvPr>
        <xdr:cNvSpPr/>
      </xdr:nvSpPr>
      <xdr:spPr>
        <a:xfrm>
          <a:off x="4051300" y="26797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  <xdr:twoCellAnchor>
    <xdr:from>
      <xdr:col>2</xdr:col>
      <xdr:colOff>12700</xdr:colOff>
      <xdr:row>15</xdr:row>
      <xdr:rowOff>12700</xdr:rowOff>
    </xdr:from>
    <xdr:to>
      <xdr:col>2</xdr:col>
      <xdr:colOff>64830</xdr:colOff>
      <xdr:row>15</xdr:row>
      <xdr:rowOff>127000</xdr:rowOff>
    </xdr:to>
    <xdr:sp macro="" textlink="">
      <xdr:nvSpPr>
        <xdr:cNvPr id="10" name="OpenSolver9">
          <a:extLst>
            <a:ext uri="{FF2B5EF4-FFF2-40B4-BE49-F238E27FC236}">
              <a16:creationId xmlns:a16="http://schemas.microsoft.com/office/drawing/2014/main" id="{02B7CA17-C41A-D560-3163-6944FC6F58CD}"/>
            </a:ext>
          </a:extLst>
        </xdr:cNvPr>
        <xdr:cNvSpPr/>
      </xdr:nvSpPr>
      <xdr:spPr>
        <a:xfrm>
          <a:off x="4051300" y="2870200"/>
          <a:ext cx="52130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E49C11-E91A-844C-9819-C96DAA8375C3}" name="Table1" displayName="Table1" ref="A1:L37" totalsRowShown="0">
  <autoFilter ref="A1:L37" xr:uid="{05E49C11-E91A-844C-9819-C96DAA8375C3}"/>
  <tableColumns count="12">
    <tableColumn id="1" xr3:uid="{FA765628-F7F9-A542-A132-26030F381B4F}" name="Combination #"/>
    <tableColumn id="2" xr3:uid="{2E5BA72C-E970-BD49-94CD-F20812DE859B}" name="Battery 1"/>
    <tableColumn id="3" xr3:uid="{E51BF75E-D885-3345-8DEC-5EED20037364}" name="Battery 2"/>
    <tableColumn id="4" xr3:uid="{313379B1-53B6-A949-96F8-3306013DC43F}" name="Battery 3"/>
    <tableColumn id="5" xr3:uid="{DC27756D-5A51-8643-9398-D0A5D3442AFE}" name="Pickup 1"/>
    <tableColumn id="6" xr3:uid="{B1DC7FF9-4C63-1245-BBD2-6EB03573FDB4}" name="Pickup 2"/>
    <tableColumn id="7" xr3:uid="{C026158D-5463-2C4A-AFE1-F8FA86B202CF}" name="Size 1"/>
    <tableColumn id="8" xr3:uid="{83F778CF-1438-F747-9404-585F961A20F0}" name="Size 2"/>
    <tableColumn id="9" xr3:uid="{863ABAE6-CAED-3A42-98E1-4FE9EB22D234}" name="Price 1"/>
    <tableColumn id="10" xr3:uid="{D1988D91-DE10-BB4D-867B-8C8C9E231FF0}" name="Price 2"/>
    <tableColumn id="11" xr3:uid="{EA1FDE16-06F0-C645-9180-DD103BF47307}" name="Price 3"/>
    <tableColumn id="12" xr3:uid="{717BB750-E20F-CC47-AA4D-78A310A55C48}" name="Prefer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ADEEDF-CC02-6E42-8D80-D6C77D6953D7}" name="Table2" displayName="Table2" ref="O1:U37" totalsRowShown="0">
  <autoFilter ref="O1:U37" xr:uid="{B3ADEEDF-CC02-6E42-8D80-D6C77D6953D7}"/>
  <tableColumns count="7">
    <tableColumn id="1" xr3:uid="{706A5B3B-81D2-B740-851B-A2C376F263EA}" name="Battery 2_x000a_(Medium)"/>
    <tableColumn id="2" xr3:uid="{C520FF02-BA5F-1F4E-8427-A9E59136AFD1}" name="Battery 3_x000a_(Large)"/>
    <tableColumn id="3" xr3:uid="{9667B845-5347-C54C-9CBA-3BD4795A86A6}" name="Pickup 2_x000a_(Fast)"/>
    <tableColumn id="4" xr3:uid="{3287D6E5-CFEF-FD49-8A7E-4D0A6BA5C21A}" name="Size 2_x000a_(Large)"/>
    <tableColumn id="5" xr3:uid="{986A50BA-787F-BB41-B124-AE33FED20000}" name="Price 2_x000a_(Medium)"/>
    <tableColumn id="6" xr3:uid="{0BE1883C-C50D-C845-8E96-1D762F16F1C9}" name="Price 3_x000a_(High)"/>
    <tableColumn id="7" xr3:uid="{AB297D0D-68FF-0C49-8813-781E3868E5CA}" name="Prefere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92EC6B-CB2B-4346-BBA7-EA9678516FC4}" name="Table3" displayName="Table3" ref="A1:C11" totalsRowShown="0" tableBorderDxfId="33">
  <autoFilter ref="A1:C11" xr:uid="{8C92EC6B-CB2B-4346-BBA7-EA9678516FC4}"/>
  <tableColumns count="3">
    <tableColumn id="1" xr3:uid="{EEF0D126-7200-F84A-8862-EF3AC3FDAA23}" name="Attribute" dataDxfId="32"/>
    <tableColumn id="2" xr3:uid="{247B10F2-26B8-BC48-8123-B833CB7B8979}" name="Level" dataDxfId="31"/>
    <tableColumn id="3" xr3:uid="{6C5848D6-FBEC-A241-B512-4E1314DE7D6F}" name="Utility score" dataDxfId="3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B3C02-2458-274C-841F-9486C1977B24}" name="Table6" displayName="Table6" ref="F3:I9" totalsRowShown="0">
  <autoFilter ref="F3:I9" xr:uid="{1DFB3C02-2458-274C-841F-9486C1977B24}"/>
  <tableColumns count="4">
    <tableColumn id="1" xr3:uid="{32F150B9-476F-F54D-9CBB-5A11D01FEEC0}" name="Product A"/>
    <tableColumn id="2" xr3:uid="{F8E280F6-2DE4-314B-AB5E-27A92F43550D}" name="Utility"/>
    <tableColumn id="3" xr3:uid="{6E013A55-F47B-F643-8532-6034F655F43C}" name="Product B"/>
    <tableColumn id="4" xr3:uid="{72198317-D64B-4748-948D-9288DD1B8D04}" name="Utility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0A58B1E-98DA-784D-971C-F6BAE96B7913}" name="Table7" displayName="Table7" ref="F13:H18" totalsRowShown="0" headerRowDxfId="27" tableBorderDxfId="29">
  <autoFilter ref="F13:H18" xr:uid="{A0A58B1E-98DA-784D-971C-F6BAE96B7913}"/>
  <tableColumns count="3">
    <tableColumn id="1" xr3:uid="{6B4B88C1-E163-5442-B760-56C1DDD3D91A}" name="Attribute"/>
    <tableColumn id="2" xr3:uid="{41D67C8E-7B14-2540-8207-F6EA931449CA}" name="Range (Max-Min)"/>
    <tableColumn id="3" xr3:uid="{ABA6D628-65AB-BE46-8505-2C1FE6BFD2DA}" name="Importance (%)" dataDxfId="28" dataCellStyle="Per c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F041965-8F7A-B74C-B980-22A120E71BF8}" name="Table10" displayName="Table10" ref="B3:C10" totalsRowShown="0" dataDxfId="24">
  <autoFilter ref="B3:C10" xr:uid="{5F041965-8F7A-B74C-B980-22A120E71BF8}"/>
  <tableColumns count="2">
    <tableColumn id="1" xr3:uid="{7B69E1B8-EBFA-C147-BAE0-D79A5BE54BBD}" name="Parameters" dataDxfId="26"/>
    <tableColumn id="2" xr3:uid="{521E55B1-FDFF-994C-9599-C69CC79A0E9C}" name="Column1" dataDxfId="2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29B6A18-4108-1144-AA85-FE784A24F270}" name="Table11" displayName="Table11" ref="B14:C16" totalsRowShown="0" dataDxfId="20">
  <autoFilter ref="B14:C16" xr:uid="{B29B6A18-4108-1144-AA85-FE784A24F270}"/>
  <tableColumns count="2">
    <tableColumn id="1" xr3:uid="{2FBBB38D-D82E-C540-8922-138BA8D73C48}" name="Decision Variables" dataDxfId="22"/>
    <tableColumn id="2" xr3:uid="{A027E67B-7F85-8143-943D-3AF4A1E7AC9E}" name="Column1" dataDxfId="2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59200B8-C90E-D64B-BE7E-2B6479F51FD3}" name="Table12" displayName="Table12" ref="B18:C19" totalsRowShown="0">
  <autoFilter ref="B18:C19" xr:uid="{B59200B8-C90E-D64B-BE7E-2B6479F51FD3}"/>
  <tableColumns count="2">
    <tableColumn id="1" xr3:uid="{144C7470-35C1-BC46-A64F-70AB0B33971B}" name="Objective Function" dataDxfId="19"/>
    <tableColumn id="2" xr3:uid="{25E911E3-0594-3044-BC1E-37EBA88C2D8B}" name="Column1" dataDxfId="18">
      <calculatedColumnFormula>C5*C15 + C6*C16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1BDE2F2-6D60-9045-98AF-3138AC0B7244}" name="Table13" displayName="Table13" ref="B22:C25" totalsRowShown="0">
  <autoFilter ref="B22:C25" xr:uid="{41BDE2F2-6D60-9045-98AF-3138AC0B7244}"/>
  <tableColumns count="2">
    <tableColumn id="1" xr3:uid="{662DD12E-77DE-6C47-A061-4F25C4BF1C8F}" name="Results (filled by Solver)" dataDxfId="23"/>
    <tableColumn id="2" xr3:uid="{9B09B877-750F-AE42-83E3-C592F7B0082D}" name="Column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9610420-22C0-5046-9C9D-37278A32FBAD}" name="Table1016" displayName="Table1016" ref="B3:C10" totalsRowShown="0" dataDxfId="17">
  <autoFilter ref="B3:C10" xr:uid="{5F041965-8F7A-B74C-B980-22A120E71BF8}"/>
  <tableColumns count="2">
    <tableColumn id="1" xr3:uid="{B4D8F5EB-92E1-C945-97E7-CC4108653149}" name="Parameters" dataDxfId="16"/>
    <tableColumn id="2" xr3:uid="{500AD5E1-5DB9-804A-9D45-02D2053A4CB6}" name="Column1" dataDxfId="1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D6BF1AF-1746-6E42-9110-3F0B03CFA118}" name="Table1117" displayName="Table1117" ref="B14:C16" totalsRowShown="0" dataDxfId="14">
  <autoFilter ref="B14:C16" xr:uid="{B29B6A18-4108-1144-AA85-FE784A24F270}"/>
  <tableColumns count="2">
    <tableColumn id="1" xr3:uid="{975F3235-B9F5-6440-A4E9-ADD0664FFDB4}" name="Decision Variables" dataDxfId="13"/>
    <tableColumn id="2" xr3:uid="{E093E9A8-1A78-B149-B97A-261B7F20547E}" name="Column1" dataDxfId="1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23E32DE-EF4E-244A-9DC2-E4207F0A51A7}" name="Table1218" displayName="Table1218" ref="B18:C19" totalsRowShown="0">
  <autoFilter ref="B18:C19" xr:uid="{B59200B8-C90E-D64B-BE7E-2B6479F51FD3}"/>
  <tableColumns count="2">
    <tableColumn id="1" xr3:uid="{2F9FF4AE-2CE7-7048-8869-43940B18CF95}" name="Objective Function" dataDxfId="11"/>
    <tableColumn id="2" xr3:uid="{75448C46-19B8-174E-8D21-7BDD0B0D6735}" name="Column1" dataDxfId="10">
      <calculatedColumnFormula>C5*C15 + C6*C16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6F14FB5-D94E-DA48-AA71-E13C71515438}" name="Table1319" displayName="Table1319" ref="B22:C25" totalsRowShown="0">
  <autoFilter ref="B22:C25" xr:uid="{41BDE2F2-6D60-9045-98AF-3138AC0B7244}"/>
  <tableColumns count="2">
    <tableColumn id="1" xr3:uid="{35E7559B-58C3-0741-A196-2117F0A2FA35}" name="Results (filled by Solver)" dataDxfId="9"/>
    <tableColumn id="2" xr3:uid="{EB9846EF-CCAA-404D-B481-D5C27DD81AB4}" name="Column1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75EE11D-6127-B940-9E93-BFC7A852D005}" name="Table1020" displayName="Table1020" ref="B3:C10" totalsRowShown="0" dataDxfId="8">
  <autoFilter ref="B3:C10" xr:uid="{5F041965-8F7A-B74C-B980-22A120E71BF8}"/>
  <tableColumns count="2">
    <tableColumn id="1" xr3:uid="{2DF6AE00-DF66-7D4A-A372-FE286E2D880B}" name="Parameters" dataDxfId="7"/>
    <tableColumn id="2" xr3:uid="{9CC6E443-030B-4F40-9882-F1FD9F775B64}" name="Column1" dataDxfId="6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9FB4529-7CD6-A44C-B858-8CD00D2DA7A3}" name="Table1121" displayName="Table1121" ref="B14:C16" totalsRowShown="0" dataDxfId="5">
  <autoFilter ref="B14:C16" xr:uid="{B29B6A18-4108-1144-AA85-FE784A24F270}"/>
  <tableColumns count="2">
    <tableColumn id="1" xr3:uid="{9BC14B8A-1280-8942-87C2-A7331ABB6025}" name="Decision Variables" dataDxfId="4"/>
    <tableColumn id="2" xr3:uid="{64CEF38D-71D2-BB42-8360-67D38EFD2C5B}" name="Column1" dataDxfId="3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D14B430-7E44-114A-8813-4CFAA502A17D}" name="Table1222" displayName="Table1222" ref="B18:C19" totalsRowShown="0">
  <autoFilter ref="B18:C19" xr:uid="{B59200B8-C90E-D64B-BE7E-2B6479F51FD3}"/>
  <tableColumns count="2">
    <tableColumn id="1" xr3:uid="{E68329DC-4189-7C49-9881-16CECF3E7539}" name="Objective Function" dataDxfId="2"/>
    <tableColumn id="2" xr3:uid="{DE68CC4C-6A96-664E-BA48-44803C0A4B0A}" name="Column1" dataDxfId="1">
      <calculatedColumnFormula>C5*C15 + C6*C16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D01297E-EF72-6A4F-A7AF-733DCF52575E}" name="Table1323" displayName="Table1323" ref="B22:C25" totalsRowShown="0">
  <autoFilter ref="B22:C25" xr:uid="{41BDE2F2-6D60-9045-98AF-3138AC0B7244}"/>
  <tableColumns count="2">
    <tableColumn id="1" xr3:uid="{347B1D33-0019-0D43-A6A2-5B6C3A22FB59}" name="Results (filled by Solver)" dataDxfId="0"/>
    <tableColumn id="2" xr3:uid="{988AA1F7-2111-4245-8484-651D06F239EC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1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2.xml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drawing" Target="../drawings/drawing3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6553A-9E86-4075-875B-5DEC9604D0D6}">
  <dimension ref="A1:U37"/>
  <sheetViews>
    <sheetView topLeftCell="D1" workbookViewId="0">
      <selection activeCell="S7" sqref="S7"/>
    </sheetView>
  </sheetViews>
  <sheetFormatPr baseColWidth="10" defaultColWidth="8.83203125" defaultRowHeight="15" x14ac:dyDescent="0.2"/>
  <cols>
    <col min="1" max="1" width="18" customWidth="1"/>
    <col min="2" max="4" width="10.5" customWidth="1"/>
    <col min="5" max="6" width="10" customWidth="1"/>
    <col min="12" max="12" width="12.1640625" customWidth="1"/>
    <col min="21" max="21" width="12.1640625" customWidth="1"/>
  </cols>
  <sheetData>
    <row r="1" spans="1:21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</v>
      </c>
    </row>
    <row r="2" spans="1:21" x14ac:dyDescent="0.2">
      <c r="A2">
        <v>1</v>
      </c>
      <c r="B2">
        <v>1</v>
      </c>
      <c r="C2">
        <v>0</v>
      </c>
      <c r="D2">
        <v>0</v>
      </c>
      <c r="E2">
        <v>1</v>
      </c>
      <c r="F2">
        <v>0</v>
      </c>
      <c r="G2">
        <v>1</v>
      </c>
      <c r="H2">
        <v>0</v>
      </c>
      <c r="I2">
        <v>1</v>
      </c>
      <c r="J2">
        <v>0</v>
      </c>
      <c r="K2">
        <v>0</v>
      </c>
      <c r="L2">
        <v>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</v>
      </c>
    </row>
    <row r="3" spans="1:21" x14ac:dyDescent="0.2">
      <c r="A3">
        <v>2</v>
      </c>
      <c r="B3">
        <v>1</v>
      </c>
      <c r="C3">
        <v>0</v>
      </c>
      <c r="D3">
        <v>0</v>
      </c>
      <c r="E3">
        <v>1</v>
      </c>
      <c r="F3">
        <v>0</v>
      </c>
      <c r="G3">
        <v>1</v>
      </c>
      <c r="H3">
        <v>0</v>
      </c>
      <c r="I3">
        <v>0</v>
      </c>
      <c r="J3">
        <v>1</v>
      </c>
      <c r="K3">
        <v>0</v>
      </c>
      <c r="L3">
        <v>2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2</v>
      </c>
    </row>
    <row r="4" spans="1:21" x14ac:dyDescent="0.2">
      <c r="A4">
        <v>3</v>
      </c>
      <c r="B4">
        <v>1</v>
      </c>
      <c r="C4">
        <v>0</v>
      </c>
      <c r="D4">
        <v>0</v>
      </c>
      <c r="E4">
        <v>1</v>
      </c>
      <c r="F4">
        <v>0</v>
      </c>
      <c r="G4">
        <v>1</v>
      </c>
      <c r="H4">
        <v>0</v>
      </c>
      <c r="I4">
        <v>0</v>
      </c>
      <c r="J4">
        <v>0</v>
      </c>
      <c r="K4">
        <v>1</v>
      </c>
      <c r="L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</row>
    <row r="5" spans="1:21" x14ac:dyDescent="0.2">
      <c r="A5">
        <v>4</v>
      </c>
      <c r="B5">
        <v>1</v>
      </c>
      <c r="C5">
        <v>0</v>
      </c>
      <c r="D5">
        <v>0</v>
      </c>
      <c r="E5">
        <v>1</v>
      </c>
      <c r="F5">
        <v>0</v>
      </c>
      <c r="G5">
        <v>0</v>
      </c>
      <c r="H5">
        <v>1</v>
      </c>
      <c r="I5">
        <v>1</v>
      </c>
      <c r="J5">
        <v>0</v>
      </c>
      <c r="K5">
        <v>0</v>
      </c>
      <c r="L5">
        <v>8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8</v>
      </c>
    </row>
    <row r="6" spans="1:21" x14ac:dyDescent="0.2">
      <c r="A6">
        <v>5</v>
      </c>
      <c r="B6">
        <v>1</v>
      </c>
      <c r="C6">
        <v>0</v>
      </c>
      <c r="D6">
        <v>0</v>
      </c>
      <c r="E6">
        <v>1</v>
      </c>
      <c r="F6">
        <v>0</v>
      </c>
      <c r="G6">
        <v>0</v>
      </c>
      <c r="H6">
        <v>1</v>
      </c>
      <c r="I6">
        <v>0</v>
      </c>
      <c r="J6">
        <v>1</v>
      </c>
      <c r="K6">
        <v>0</v>
      </c>
      <c r="L6">
        <v>6</v>
      </c>
      <c r="O6">
        <v>0</v>
      </c>
      <c r="P6">
        <v>0</v>
      </c>
      <c r="Q6">
        <v>0</v>
      </c>
      <c r="R6">
        <v>1</v>
      </c>
      <c r="S6">
        <v>1</v>
      </c>
      <c r="T6">
        <v>0</v>
      </c>
      <c r="U6">
        <v>6</v>
      </c>
    </row>
    <row r="7" spans="1:21" x14ac:dyDescent="0.2">
      <c r="A7">
        <v>6</v>
      </c>
      <c r="B7">
        <v>1</v>
      </c>
      <c r="C7">
        <v>0</v>
      </c>
      <c r="D7">
        <v>0</v>
      </c>
      <c r="E7">
        <v>1</v>
      </c>
      <c r="F7">
        <v>0</v>
      </c>
      <c r="G7">
        <v>0</v>
      </c>
      <c r="H7">
        <v>1</v>
      </c>
      <c r="I7">
        <v>0</v>
      </c>
      <c r="J7">
        <v>0</v>
      </c>
      <c r="K7">
        <v>1</v>
      </c>
      <c r="L7">
        <v>1</v>
      </c>
      <c r="O7">
        <v>0</v>
      </c>
      <c r="P7">
        <v>0</v>
      </c>
      <c r="Q7">
        <v>0</v>
      </c>
      <c r="R7">
        <v>1</v>
      </c>
      <c r="S7">
        <v>0</v>
      </c>
      <c r="T7">
        <v>1</v>
      </c>
      <c r="U7">
        <v>1</v>
      </c>
    </row>
    <row r="8" spans="1:21" x14ac:dyDescent="0.2">
      <c r="A8">
        <v>7</v>
      </c>
      <c r="B8">
        <v>1</v>
      </c>
      <c r="C8">
        <v>0</v>
      </c>
      <c r="D8">
        <v>0</v>
      </c>
      <c r="E8">
        <v>0</v>
      </c>
      <c r="F8">
        <v>1</v>
      </c>
      <c r="G8">
        <v>1</v>
      </c>
      <c r="H8">
        <v>0</v>
      </c>
      <c r="I8">
        <v>1</v>
      </c>
      <c r="J8">
        <v>0</v>
      </c>
      <c r="K8">
        <v>0</v>
      </c>
      <c r="L8">
        <v>6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6</v>
      </c>
    </row>
    <row r="9" spans="1:21" x14ac:dyDescent="0.2">
      <c r="A9">
        <v>8</v>
      </c>
      <c r="B9">
        <v>1</v>
      </c>
      <c r="C9">
        <v>0</v>
      </c>
      <c r="D9">
        <v>0</v>
      </c>
      <c r="E9">
        <v>0</v>
      </c>
      <c r="F9">
        <v>1</v>
      </c>
      <c r="G9">
        <v>1</v>
      </c>
      <c r="H9">
        <v>0</v>
      </c>
      <c r="I9">
        <v>0</v>
      </c>
      <c r="J9">
        <v>1</v>
      </c>
      <c r="K9">
        <v>0</v>
      </c>
      <c r="L9">
        <v>4</v>
      </c>
      <c r="O9">
        <v>0</v>
      </c>
      <c r="P9">
        <v>0</v>
      </c>
      <c r="Q9">
        <v>1</v>
      </c>
      <c r="R9">
        <v>0</v>
      </c>
      <c r="S9">
        <v>1</v>
      </c>
      <c r="T9">
        <v>0</v>
      </c>
      <c r="U9">
        <v>4</v>
      </c>
    </row>
    <row r="10" spans="1:21" x14ac:dyDescent="0.2">
      <c r="A10">
        <v>9</v>
      </c>
      <c r="B10">
        <v>1</v>
      </c>
      <c r="C10">
        <v>0</v>
      </c>
      <c r="D10">
        <v>0</v>
      </c>
      <c r="E10">
        <v>0</v>
      </c>
      <c r="F10">
        <v>1</v>
      </c>
      <c r="G10">
        <v>1</v>
      </c>
      <c r="H10">
        <v>0</v>
      </c>
      <c r="I10">
        <v>0</v>
      </c>
      <c r="J10">
        <v>0</v>
      </c>
      <c r="K10">
        <v>1</v>
      </c>
      <c r="L10">
        <v>2</v>
      </c>
      <c r="O10">
        <v>0</v>
      </c>
      <c r="P10">
        <v>0</v>
      </c>
      <c r="Q10">
        <v>1</v>
      </c>
      <c r="R10">
        <v>0</v>
      </c>
      <c r="S10">
        <v>0</v>
      </c>
      <c r="T10">
        <v>1</v>
      </c>
      <c r="U10">
        <v>2</v>
      </c>
    </row>
    <row r="11" spans="1:21" x14ac:dyDescent="0.2">
      <c r="A11">
        <v>10</v>
      </c>
      <c r="B11">
        <v>1</v>
      </c>
      <c r="C11">
        <v>0</v>
      </c>
      <c r="D11">
        <v>0</v>
      </c>
      <c r="E11">
        <v>0</v>
      </c>
      <c r="F11">
        <v>1</v>
      </c>
      <c r="G11">
        <v>0</v>
      </c>
      <c r="H11">
        <v>1</v>
      </c>
      <c r="I11">
        <v>1</v>
      </c>
      <c r="J11">
        <v>0</v>
      </c>
      <c r="K11">
        <v>0</v>
      </c>
      <c r="L11">
        <v>7</v>
      </c>
      <c r="O11">
        <v>0</v>
      </c>
      <c r="P11">
        <v>0</v>
      </c>
      <c r="Q11">
        <v>1</v>
      </c>
      <c r="R11">
        <v>1</v>
      </c>
      <c r="S11">
        <v>0</v>
      </c>
      <c r="T11">
        <v>0</v>
      </c>
      <c r="U11">
        <v>7</v>
      </c>
    </row>
    <row r="12" spans="1:21" x14ac:dyDescent="0.2">
      <c r="A12">
        <v>11</v>
      </c>
      <c r="B12">
        <v>1</v>
      </c>
      <c r="C12">
        <v>0</v>
      </c>
      <c r="D12">
        <v>0</v>
      </c>
      <c r="E12">
        <v>0</v>
      </c>
      <c r="F12">
        <v>1</v>
      </c>
      <c r="G12">
        <v>0</v>
      </c>
      <c r="H12">
        <v>1</v>
      </c>
      <c r="I12">
        <v>0</v>
      </c>
      <c r="J12">
        <v>1</v>
      </c>
      <c r="K12">
        <v>0</v>
      </c>
      <c r="L12">
        <v>5</v>
      </c>
      <c r="O12">
        <v>0</v>
      </c>
      <c r="P12">
        <v>0</v>
      </c>
      <c r="Q12">
        <v>1</v>
      </c>
      <c r="R12">
        <v>1</v>
      </c>
      <c r="S12">
        <v>1</v>
      </c>
      <c r="T12">
        <v>0</v>
      </c>
      <c r="U12">
        <v>5</v>
      </c>
    </row>
    <row r="13" spans="1:21" x14ac:dyDescent="0.2">
      <c r="A13">
        <v>12</v>
      </c>
      <c r="B13">
        <v>1</v>
      </c>
      <c r="C13">
        <v>0</v>
      </c>
      <c r="D13">
        <v>0</v>
      </c>
      <c r="E13">
        <v>0</v>
      </c>
      <c r="F13">
        <v>1</v>
      </c>
      <c r="G13">
        <v>0</v>
      </c>
      <c r="H13">
        <v>1</v>
      </c>
      <c r="I13">
        <v>0</v>
      </c>
      <c r="J13">
        <v>0</v>
      </c>
      <c r="K13">
        <v>1</v>
      </c>
      <c r="L13">
        <v>2</v>
      </c>
      <c r="O13">
        <v>0</v>
      </c>
      <c r="P13">
        <v>0</v>
      </c>
      <c r="Q13">
        <v>1</v>
      </c>
      <c r="R13">
        <v>1</v>
      </c>
      <c r="S13">
        <v>0</v>
      </c>
      <c r="T13">
        <v>1</v>
      </c>
      <c r="U13">
        <v>2</v>
      </c>
    </row>
    <row r="14" spans="1:21" x14ac:dyDescent="0.2">
      <c r="A14">
        <v>13</v>
      </c>
      <c r="B14">
        <v>0</v>
      </c>
      <c r="C14">
        <v>1</v>
      </c>
      <c r="D14">
        <v>0</v>
      </c>
      <c r="E14">
        <v>1</v>
      </c>
      <c r="F14">
        <v>0</v>
      </c>
      <c r="G14">
        <v>1</v>
      </c>
      <c r="H14">
        <v>0</v>
      </c>
      <c r="I14">
        <v>1</v>
      </c>
      <c r="J14">
        <v>0</v>
      </c>
      <c r="K14">
        <v>0</v>
      </c>
      <c r="L14">
        <v>4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4</v>
      </c>
    </row>
    <row r="15" spans="1:21" x14ac:dyDescent="0.2">
      <c r="A15">
        <v>14</v>
      </c>
      <c r="B15">
        <v>0</v>
      </c>
      <c r="C15">
        <v>1</v>
      </c>
      <c r="D15">
        <v>0</v>
      </c>
      <c r="E15">
        <v>1</v>
      </c>
      <c r="F15">
        <v>0</v>
      </c>
      <c r="G15">
        <v>1</v>
      </c>
      <c r="H15">
        <v>0</v>
      </c>
      <c r="I15">
        <v>0</v>
      </c>
      <c r="J15">
        <v>1</v>
      </c>
      <c r="K15">
        <v>0</v>
      </c>
      <c r="L15">
        <v>3</v>
      </c>
      <c r="O15">
        <v>1</v>
      </c>
      <c r="P15">
        <v>0</v>
      </c>
      <c r="Q15">
        <v>0</v>
      </c>
      <c r="R15">
        <v>0</v>
      </c>
      <c r="S15">
        <v>1</v>
      </c>
      <c r="T15">
        <v>0</v>
      </c>
      <c r="U15">
        <v>3</v>
      </c>
    </row>
    <row r="16" spans="1:21" x14ac:dyDescent="0.2">
      <c r="A16">
        <v>15</v>
      </c>
      <c r="B16">
        <v>0</v>
      </c>
      <c r="C16">
        <v>1</v>
      </c>
      <c r="D16">
        <v>0</v>
      </c>
      <c r="E16">
        <v>1</v>
      </c>
      <c r="F16">
        <v>0</v>
      </c>
      <c r="G16">
        <v>1</v>
      </c>
      <c r="H16">
        <v>0</v>
      </c>
      <c r="I16">
        <v>0</v>
      </c>
      <c r="J16">
        <v>0</v>
      </c>
      <c r="K16">
        <v>1</v>
      </c>
      <c r="L16">
        <v>2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2</v>
      </c>
    </row>
    <row r="17" spans="1:21" x14ac:dyDescent="0.2">
      <c r="A17">
        <v>16</v>
      </c>
      <c r="B17">
        <v>0</v>
      </c>
      <c r="C17">
        <v>1</v>
      </c>
      <c r="D17">
        <v>0</v>
      </c>
      <c r="E17">
        <v>1</v>
      </c>
      <c r="F17">
        <v>0</v>
      </c>
      <c r="G17">
        <v>0</v>
      </c>
      <c r="H17">
        <v>1</v>
      </c>
      <c r="I17">
        <v>1</v>
      </c>
      <c r="J17">
        <v>0</v>
      </c>
      <c r="K17">
        <v>0</v>
      </c>
      <c r="L17">
        <v>7</v>
      </c>
      <c r="O17">
        <v>1</v>
      </c>
      <c r="P17">
        <v>0</v>
      </c>
      <c r="Q17">
        <v>0</v>
      </c>
      <c r="R17">
        <v>1</v>
      </c>
      <c r="S17">
        <v>0</v>
      </c>
      <c r="T17">
        <v>0</v>
      </c>
      <c r="U17">
        <v>7</v>
      </c>
    </row>
    <row r="18" spans="1:21" x14ac:dyDescent="0.2">
      <c r="A18">
        <v>17</v>
      </c>
      <c r="B18">
        <v>0</v>
      </c>
      <c r="C18">
        <v>1</v>
      </c>
      <c r="D18">
        <v>0</v>
      </c>
      <c r="E18">
        <v>1</v>
      </c>
      <c r="F18">
        <v>0</v>
      </c>
      <c r="G18">
        <v>0</v>
      </c>
      <c r="H18">
        <v>1</v>
      </c>
      <c r="I18">
        <v>0</v>
      </c>
      <c r="J18">
        <v>1</v>
      </c>
      <c r="K18">
        <v>0</v>
      </c>
      <c r="L18">
        <v>6</v>
      </c>
      <c r="O18">
        <v>1</v>
      </c>
      <c r="P18">
        <v>0</v>
      </c>
      <c r="Q18">
        <v>0</v>
      </c>
      <c r="R18">
        <v>1</v>
      </c>
      <c r="S18">
        <v>1</v>
      </c>
      <c r="T18">
        <v>0</v>
      </c>
      <c r="U18">
        <v>6</v>
      </c>
    </row>
    <row r="19" spans="1:21" x14ac:dyDescent="0.2">
      <c r="A19">
        <v>18</v>
      </c>
      <c r="B19">
        <v>0</v>
      </c>
      <c r="C19">
        <v>1</v>
      </c>
      <c r="D19">
        <v>0</v>
      </c>
      <c r="E19">
        <v>1</v>
      </c>
      <c r="F19">
        <v>0</v>
      </c>
      <c r="G19">
        <v>0</v>
      </c>
      <c r="H19">
        <v>1</v>
      </c>
      <c r="I19">
        <v>0</v>
      </c>
      <c r="J19">
        <v>0</v>
      </c>
      <c r="K19">
        <v>1</v>
      </c>
      <c r="L19">
        <v>3</v>
      </c>
      <c r="O19">
        <v>1</v>
      </c>
      <c r="P19">
        <v>0</v>
      </c>
      <c r="Q19">
        <v>0</v>
      </c>
      <c r="R19">
        <v>1</v>
      </c>
      <c r="S19">
        <v>0</v>
      </c>
      <c r="T19">
        <v>1</v>
      </c>
      <c r="U19">
        <v>3</v>
      </c>
    </row>
    <row r="20" spans="1:21" x14ac:dyDescent="0.2">
      <c r="A20">
        <v>19</v>
      </c>
      <c r="B20">
        <v>0</v>
      </c>
      <c r="C20">
        <v>1</v>
      </c>
      <c r="D20">
        <v>0</v>
      </c>
      <c r="E20">
        <v>0</v>
      </c>
      <c r="F20">
        <v>1</v>
      </c>
      <c r="G20">
        <v>1</v>
      </c>
      <c r="H20">
        <v>0</v>
      </c>
      <c r="I20">
        <v>1</v>
      </c>
      <c r="J20">
        <v>0</v>
      </c>
      <c r="K20">
        <v>0</v>
      </c>
      <c r="L20">
        <v>7</v>
      </c>
      <c r="O20">
        <v>1</v>
      </c>
      <c r="P20">
        <v>0</v>
      </c>
      <c r="Q20">
        <v>1</v>
      </c>
      <c r="R20">
        <v>0</v>
      </c>
      <c r="S20">
        <v>0</v>
      </c>
      <c r="T20">
        <v>0</v>
      </c>
      <c r="U20">
        <v>7</v>
      </c>
    </row>
    <row r="21" spans="1:21" x14ac:dyDescent="0.2">
      <c r="A21">
        <v>20</v>
      </c>
      <c r="B21">
        <v>0</v>
      </c>
      <c r="C21">
        <v>1</v>
      </c>
      <c r="D21">
        <v>0</v>
      </c>
      <c r="E21">
        <v>0</v>
      </c>
      <c r="F21">
        <v>1</v>
      </c>
      <c r="G21">
        <v>1</v>
      </c>
      <c r="H21">
        <v>0</v>
      </c>
      <c r="I21">
        <v>0</v>
      </c>
      <c r="J21">
        <v>1</v>
      </c>
      <c r="K21">
        <v>0</v>
      </c>
      <c r="L21">
        <v>6</v>
      </c>
      <c r="O21">
        <v>1</v>
      </c>
      <c r="P21">
        <v>0</v>
      </c>
      <c r="Q21">
        <v>1</v>
      </c>
      <c r="R21">
        <v>0</v>
      </c>
      <c r="S21">
        <v>1</v>
      </c>
      <c r="T21">
        <v>0</v>
      </c>
      <c r="U21">
        <v>6</v>
      </c>
    </row>
    <row r="22" spans="1:21" x14ac:dyDescent="0.2">
      <c r="A22">
        <v>21</v>
      </c>
      <c r="B22">
        <v>0</v>
      </c>
      <c r="C22">
        <v>1</v>
      </c>
      <c r="D22">
        <v>0</v>
      </c>
      <c r="E22">
        <v>0</v>
      </c>
      <c r="F22">
        <v>1</v>
      </c>
      <c r="G22">
        <v>1</v>
      </c>
      <c r="H22">
        <v>0</v>
      </c>
      <c r="I22">
        <v>0</v>
      </c>
      <c r="J22">
        <v>0</v>
      </c>
      <c r="K22">
        <v>1</v>
      </c>
      <c r="L22">
        <v>3</v>
      </c>
      <c r="O22">
        <v>1</v>
      </c>
      <c r="P22">
        <v>0</v>
      </c>
      <c r="Q22">
        <v>1</v>
      </c>
      <c r="R22">
        <v>0</v>
      </c>
      <c r="S22">
        <v>0</v>
      </c>
      <c r="T22">
        <v>1</v>
      </c>
      <c r="U22">
        <v>3</v>
      </c>
    </row>
    <row r="23" spans="1:21" x14ac:dyDescent="0.2">
      <c r="A23">
        <v>22</v>
      </c>
      <c r="B23">
        <v>0</v>
      </c>
      <c r="C23">
        <v>1</v>
      </c>
      <c r="D23">
        <v>0</v>
      </c>
      <c r="E23">
        <v>0</v>
      </c>
      <c r="F23">
        <v>1</v>
      </c>
      <c r="G23">
        <v>0</v>
      </c>
      <c r="H23">
        <v>1</v>
      </c>
      <c r="I23">
        <v>1</v>
      </c>
      <c r="J23">
        <v>0</v>
      </c>
      <c r="K23">
        <v>0</v>
      </c>
      <c r="L23">
        <v>4</v>
      </c>
      <c r="O23">
        <v>1</v>
      </c>
      <c r="P23">
        <v>0</v>
      </c>
      <c r="Q23">
        <v>1</v>
      </c>
      <c r="R23">
        <v>1</v>
      </c>
      <c r="S23">
        <v>0</v>
      </c>
      <c r="T23">
        <v>0</v>
      </c>
      <c r="U23">
        <v>4</v>
      </c>
    </row>
    <row r="24" spans="1:21" x14ac:dyDescent="0.2">
      <c r="A24">
        <v>23</v>
      </c>
      <c r="B24">
        <v>0</v>
      </c>
      <c r="C24">
        <v>1</v>
      </c>
      <c r="D24">
        <v>0</v>
      </c>
      <c r="E24">
        <v>0</v>
      </c>
      <c r="F24">
        <v>1</v>
      </c>
      <c r="G24">
        <v>0</v>
      </c>
      <c r="H24">
        <v>1</v>
      </c>
      <c r="I24">
        <v>0</v>
      </c>
      <c r="J24">
        <v>1</v>
      </c>
      <c r="K24">
        <v>0</v>
      </c>
      <c r="L24">
        <v>3</v>
      </c>
      <c r="O24">
        <v>1</v>
      </c>
      <c r="P24">
        <v>0</v>
      </c>
      <c r="Q24">
        <v>1</v>
      </c>
      <c r="R24">
        <v>1</v>
      </c>
      <c r="S24">
        <v>1</v>
      </c>
      <c r="T24">
        <v>0</v>
      </c>
      <c r="U24">
        <v>3</v>
      </c>
    </row>
    <row r="25" spans="1:21" x14ac:dyDescent="0.2">
      <c r="A25">
        <v>24</v>
      </c>
      <c r="B25">
        <v>0</v>
      </c>
      <c r="C25">
        <v>1</v>
      </c>
      <c r="D25">
        <v>0</v>
      </c>
      <c r="E25">
        <v>0</v>
      </c>
      <c r="F25">
        <v>1</v>
      </c>
      <c r="G25">
        <v>0</v>
      </c>
      <c r="H25">
        <v>1</v>
      </c>
      <c r="I25">
        <v>0</v>
      </c>
      <c r="J25">
        <v>0</v>
      </c>
      <c r="K25">
        <v>1</v>
      </c>
      <c r="L25">
        <v>3</v>
      </c>
      <c r="O25">
        <v>1</v>
      </c>
      <c r="P25">
        <v>0</v>
      </c>
      <c r="Q25">
        <v>1</v>
      </c>
      <c r="R25">
        <v>1</v>
      </c>
      <c r="S25">
        <v>0</v>
      </c>
      <c r="T25">
        <v>1</v>
      </c>
      <c r="U25">
        <v>3</v>
      </c>
    </row>
    <row r="26" spans="1:21" x14ac:dyDescent="0.2">
      <c r="A26">
        <v>25</v>
      </c>
      <c r="B26">
        <v>0</v>
      </c>
      <c r="C26">
        <v>0</v>
      </c>
      <c r="D26">
        <v>1</v>
      </c>
      <c r="E26">
        <v>1</v>
      </c>
      <c r="F26">
        <v>0</v>
      </c>
      <c r="G26">
        <v>1</v>
      </c>
      <c r="H26">
        <v>0</v>
      </c>
      <c r="I26">
        <v>1</v>
      </c>
      <c r="J26">
        <v>0</v>
      </c>
      <c r="K26">
        <v>0</v>
      </c>
      <c r="L26">
        <v>8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8</v>
      </c>
    </row>
    <row r="27" spans="1:21" x14ac:dyDescent="0.2">
      <c r="A27">
        <v>26</v>
      </c>
      <c r="B27">
        <v>0</v>
      </c>
      <c r="C27">
        <v>0</v>
      </c>
      <c r="D27">
        <v>1</v>
      </c>
      <c r="E27">
        <v>1</v>
      </c>
      <c r="F27">
        <v>0</v>
      </c>
      <c r="G27">
        <v>1</v>
      </c>
      <c r="H27">
        <v>0</v>
      </c>
      <c r="I27">
        <v>0</v>
      </c>
      <c r="J27">
        <v>1</v>
      </c>
      <c r="K27">
        <v>0</v>
      </c>
      <c r="L27">
        <v>7</v>
      </c>
      <c r="O27">
        <v>0</v>
      </c>
      <c r="P27">
        <v>1</v>
      </c>
      <c r="Q27">
        <v>0</v>
      </c>
      <c r="R27">
        <v>0</v>
      </c>
      <c r="S27">
        <v>1</v>
      </c>
      <c r="T27">
        <v>0</v>
      </c>
      <c r="U27">
        <v>7</v>
      </c>
    </row>
    <row r="28" spans="1:21" x14ac:dyDescent="0.2">
      <c r="A28">
        <v>27</v>
      </c>
      <c r="B28">
        <v>0</v>
      </c>
      <c r="C28">
        <v>0</v>
      </c>
      <c r="D28">
        <v>1</v>
      </c>
      <c r="E28">
        <v>1</v>
      </c>
      <c r="F28">
        <v>0</v>
      </c>
      <c r="G28">
        <v>1</v>
      </c>
      <c r="H28">
        <v>0</v>
      </c>
      <c r="I28">
        <v>0</v>
      </c>
      <c r="J28">
        <v>0</v>
      </c>
      <c r="K28">
        <v>1</v>
      </c>
      <c r="L28">
        <v>4</v>
      </c>
      <c r="O28">
        <v>0</v>
      </c>
      <c r="P28">
        <v>1</v>
      </c>
      <c r="Q28">
        <v>0</v>
      </c>
      <c r="R28">
        <v>0</v>
      </c>
      <c r="S28">
        <v>0</v>
      </c>
      <c r="T28">
        <v>1</v>
      </c>
      <c r="U28">
        <v>4</v>
      </c>
    </row>
    <row r="29" spans="1:21" x14ac:dyDescent="0.2">
      <c r="A29">
        <v>28</v>
      </c>
      <c r="B29">
        <v>0</v>
      </c>
      <c r="C29">
        <v>0</v>
      </c>
      <c r="D29">
        <v>1</v>
      </c>
      <c r="E29">
        <v>1</v>
      </c>
      <c r="F29">
        <v>0</v>
      </c>
      <c r="G29">
        <v>0</v>
      </c>
      <c r="H29">
        <v>1</v>
      </c>
      <c r="I29">
        <v>1</v>
      </c>
      <c r="J29">
        <v>0</v>
      </c>
      <c r="K29">
        <v>0</v>
      </c>
      <c r="L29">
        <v>9</v>
      </c>
      <c r="O29">
        <v>0</v>
      </c>
      <c r="P29">
        <v>1</v>
      </c>
      <c r="Q29">
        <v>0</v>
      </c>
      <c r="R29">
        <v>1</v>
      </c>
      <c r="S29">
        <v>0</v>
      </c>
      <c r="T29">
        <v>0</v>
      </c>
      <c r="U29">
        <v>9</v>
      </c>
    </row>
    <row r="30" spans="1:21" x14ac:dyDescent="0.2">
      <c r="A30">
        <v>29</v>
      </c>
      <c r="B30">
        <v>0</v>
      </c>
      <c r="C30">
        <v>0</v>
      </c>
      <c r="D30">
        <v>1</v>
      </c>
      <c r="E30">
        <v>1</v>
      </c>
      <c r="F30">
        <v>0</v>
      </c>
      <c r="G30">
        <v>0</v>
      </c>
      <c r="H30">
        <v>1</v>
      </c>
      <c r="I30">
        <v>0</v>
      </c>
      <c r="J30">
        <v>1</v>
      </c>
      <c r="K30">
        <v>0</v>
      </c>
      <c r="L30">
        <v>7</v>
      </c>
      <c r="O30">
        <v>0</v>
      </c>
      <c r="P30">
        <v>1</v>
      </c>
      <c r="Q30">
        <v>0</v>
      </c>
      <c r="R30">
        <v>1</v>
      </c>
      <c r="S30">
        <v>1</v>
      </c>
      <c r="T30">
        <v>0</v>
      </c>
      <c r="U30">
        <v>7</v>
      </c>
    </row>
    <row r="31" spans="1:21" x14ac:dyDescent="0.2">
      <c r="A31">
        <v>30</v>
      </c>
      <c r="B31">
        <v>0</v>
      </c>
      <c r="C31">
        <v>0</v>
      </c>
      <c r="D31">
        <v>1</v>
      </c>
      <c r="E31">
        <v>1</v>
      </c>
      <c r="F31">
        <v>0</v>
      </c>
      <c r="G31">
        <v>0</v>
      </c>
      <c r="H31">
        <v>1</v>
      </c>
      <c r="I31">
        <v>0</v>
      </c>
      <c r="J31">
        <v>0</v>
      </c>
      <c r="K31">
        <v>1</v>
      </c>
      <c r="L31">
        <v>5</v>
      </c>
      <c r="O31">
        <v>0</v>
      </c>
      <c r="P31">
        <v>1</v>
      </c>
      <c r="Q31">
        <v>0</v>
      </c>
      <c r="R31">
        <v>1</v>
      </c>
      <c r="S31">
        <v>0</v>
      </c>
      <c r="T31">
        <v>1</v>
      </c>
      <c r="U31">
        <v>5</v>
      </c>
    </row>
    <row r="32" spans="1:21" x14ac:dyDescent="0.2">
      <c r="A32">
        <v>31</v>
      </c>
      <c r="B32">
        <v>0</v>
      </c>
      <c r="C32">
        <v>0</v>
      </c>
      <c r="D32">
        <v>1</v>
      </c>
      <c r="E32">
        <v>0</v>
      </c>
      <c r="F32">
        <v>1</v>
      </c>
      <c r="G32">
        <v>1</v>
      </c>
      <c r="H32">
        <v>0</v>
      </c>
      <c r="I32">
        <v>1</v>
      </c>
      <c r="J32">
        <v>0</v>
      </c>
      <c r="K32">
        <v>0</v>
      </c>
      <c r="L32">
        <v>9</v>
      </c>
      <c r="O32">
        <v>0</v>
      </c>
      <c r="P32">
        <v>1</v>
      </c>
      <c r="Q32">
        <v>1</v>
      </c>
      <c r="R32">
        <v>0</v>
      </c>
      <c r="S32">
        <v>0</v>
      </c>
      <c r="T32">
        <v>0</v>
      </c>
      <c r="U32">
        <v>9</v>
      </c>
    </row>
    <row r="33" spans="1:21" x14ac:dyDescent="0.2">
      <c r="A33">
        <v>32</v>
      </c>
      <c r="B33">
        <v>0</v>
      </c>
      <c r="C33">
        <v>0</v>
      </c>
      <c r="D33">
        <v>1</v>
      </c>
      <c r="E33">
        <v>0</v>
      </c>
      <c r="F33">
        <v>1</v>
      </c>
      <c r="G33">
        <v>1</v>
      </c>
      <c r="H33">
        <v>0</v>
      </c>
      <c r="I33">
        <v>0</v>
      </c>
      <c r="J33">
        <v>1</v>
      </c>
      <c r="K33">
        <v>0</v>
      </c>
      <c r="L33">
        <v>8</v>
      </c>
      <c r="O33">
        <v>0</v>
      </c>
      <c r="P33">
        <v>1</v>
      </c>
      <c r="Q33">
        <v>1</v>
      </c>
      <c r="R33">
        <v>0</v>
      </c>
      <c r="S33">
        <v>1</v>
      </c>
      <c r="T33">
        <v>0</v>
      </c>
      <c r="U33">
        <v>8</v>
      </c>
    </row>
    <row r="34" spans="1:21" x14ac:dyDescent="0.2">
      <c r="A34">
        <v>33</v>
      </c>
      <c r="B34">
        <v>0</v>
      </c>
      <c r="C34">
        <v>0</v>
      </c>
      <c r="D34">
        <v>1</v>
      </c>
      <c r="E34">
        <v>0</v>
      </c>
      <c r="F34">
        <v>1</v>
      </c>
      <c r="G34">
        <v>1</v>
      </c>
      <c r="H34">
        <v>0</v>
      </c>
      <c r="I34">
        <v>0</v>
      </c>
      <c r="J34">
        <v>0</v>
      </c>
      <c r="K34">
        <v>1</v>
      </c>
      <c r="L34">
        <v>6</v>
      </c>
      <c r="O34">
        <v>0</v>
      </c>
      <c r="P34">
        <v>1</v>
      </c>
      <c r="Q34">
        <v>1</v>
      </c>
      <c r="R34">
        <v>0</v>
      </c>
      <c r="S34">
        <v>0</v>
      </c>
      <c r="T34">
        <v>1</v>
      </c>
      <c r="U34">
        <v>6</v>
      </c>
    </row>
    <row r="35" spans="1:21" x14ac:dyDescent="0.2">
      <c r="A35">
        <v>34</v>
      </c>
      <c r="B35">
        <v>0</v>
      </c>
      <c r="C35">
        <v>0</v>
      </c>
      <c r="D35">
        <v>1</v>
      </c>
      <c r="E35">
        <v>0</v>
      </c>
      <c r="F35">
        <v>1</v>
      </c>
      <c r="G35">
        <v>0</v>
      </c>
      <c r="H35">
        <v>1</v>
      </c>
      <c r="I35">
        <v>1</v>
      </c>
      <c r="J35">
        <v>0</v>
      </c>
      <c r="K35">
        <v>0</v>
      </c>
      <c r="L35">
        <v>10</v>
      </c>
      <c r="O35">
        <v>0</v>
      </c>
      <c r="P35">
        <v>1</v>
      </c>
      <c r="Q35">
        <v>1</v>
      </c>
      <c r="R35">
        <v>1</v>
      </c>
      <c r="S35">
        <v>0</v>
      </c>
      <c r="T35">
        <v>0</v>
      </c>
      <c r="U35">
        <v>10</v>
      </c>
    </row>
    <row r="36" spans="1:21" x14ac:dyDescent="0.2">
      <c r="A36">
        <v>35</v>
      </c>
      <c r="B36">
        <v>0</v>
      </c>
      <c r="C36">
        <v>0</v>
      </c>
      <c r="D36">
        <v>1</v>
      </c>
      <c r="E36">
        <v>0</v>
      </c>
      <c r="F36">
        <v>1</v>
      </c>
      <c r="G36">
        <v>0</v>
      </c>
      <c r="H36">
        <v>1</v>
      </c>
      <c r="I36">
        <v>0</v>
      </c>
      <c r="J36">
        <v>1</v>
      </c>
      <c r="K36">
        <v>0</v>
      </c>
      <c r="L36">
        <v>9</v>
      </c>
      <c r="O36">
        <v>0</v>
      </c>
      <c r="P36">
        <v>1</v>
      </c>
      <c r="Q36">
        <v>1</v>
      </c>
      <c r="R36">
        <v>1</v>
      </c>
      <c r="S36">
        <v>1</v>
      </c>
      <c r="T36">
        <v>0</v>
      </c>
      <c r="U36">
        <v>9</v>
      </c>
    </row>
    <row r="37" spans="1:21" x14ac:dyDescent="0.2">
      <c r="A37">
        <v>36</v>
      </c>
      <c r="B37">
        <v>0</v>
      </c>
      <c r="C37">
        <v>0</v>
      </c>
      <c r="D37">
        <v>1</v>
      </c>
      <c r="E37">
        <v>0</v>
      </c>
      <c r="F37">
        <v>1</v>
      </c>
      <c r="G37">
        <v>0</v>
      </c>
      <c r="H37">
        <v>1</v>
      </c>
      <c r="I37">
        <v>0</v>
      </c>
      <c r="J37">
        <v>0</v>
      </c>
      <c r="K37">
        <v>1</v>
      </c>
      <c r="L37">
        <v>7</v>
      </c>
      <c r="O37">
        <v>0</v>
      </c>
      <c r="P37">
        <v>1</v>
      </c>
      <c r="Q37">
        <v>1</v>
      </c>
      <c r="R37">
        <v>1</v>
      </c>
      <c r="S37">
        <v>0</v>
      </c>
      <c r="T37">
        <v>1</v>
      </c>
      <c r="U37">
        <v>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FC65C-964C-8D4A-8B16-613A541660E3}">
  <dimension ref="A1:I23"/>
  <sheetViews>
    <sheetView workbookViewId="0">
      <selection activeCell="B23" sqref="B23"/>
    </sheetView>
  </sheetViews>
  <sheetFormatPr baseColWidth="10" defaultRowHeight="15" x14ac:dyDescent="0.2"/>
  <cols>
    <col min="1" max="1" width="17.83203125" customWidth="1"/>
    <col min="3" max="3" width="13.1640625" bestFit="1" customWidth="1"/>
  </cols>
  <sheetData>
    <row r="1" spans="1:9" x14ac:dyDescent="0.2">
      <c r="A1" t="s">
        <v>18</v>
      </c>
    </row>
    <row r="2" spans="1:9" ht="16" thickBot="1" x14ac:dyDescent="0.25"/>
    <row r="3" spans="1:9" x14ac:dyDescent="0.2">
      <c r="A3" s="7" t="s">
        <v>19</v>
      </c>
      <c r="B3" s="7"/>
    </row>
    <row r="4" spans="1:9" x14ac:dyDescent="0.2">
      <c r="A4" s="4" t="s">
        <v>20</v>
      </c>
      <c r="B4" s="4">
        <v>0.89583650688310978</v>
      </c>
    </row>
    <row r="5" spans="1:9" x14ac:dyDescent="0.2">
      <c r="A5" s="4" t="s">
        <v>21</v>
      </c>
      <c r="B5" s="4">
        <v>0.80252304706453192</v>
      </c>
    </row>
    <row r="6" spans="1:9" x14ac:dyDescent="0.2">
      <c r="A6" s="4" t="s">
        <v>22</v>
      </c>
      <c r="B6" s="4">
        <v>0.76166574645719365</v>
      </c>
    </row>
    <row r="7" spans="1:9" x14ac:dyDescent="0.2">
      <c r="A7" s="4" t="s">
        <v>23</v>
      </c>
      <c r="B7" s="4">
        <v>1.2487541684335135</v>
      </c>
    </row>
    <row r="8" spans="1:9" ht="16" thickBot="1" x14ac:dyDescent="0.25">
      <c r="A8" s="5" t="s">
        <v>24</v>
      </c>
      <c r="B8" s="5">
        <v>36</v>
      </c>
    </row>
    <row r="10" spans="1:9" ht="16" thickBot="1" x14ac:dyDescent="0.25">
      <c r="A10" t="s">
        <v>25</v>
      </c>
    </row>
    <row r="11" spans="1:9" x14ac:dyDescent="0.2">
      <c r="A11" s="6"/>
      <c r="B11" s="6" t="s">
        <v>30</v>
      </c>
      <c r="C11" s="6" t="s">
        <v>31</v>
      </c>
      <c r="D11" s="6" t="s">
        <v>32</v>
      </c>
      <c r="E11" s="6" t="s">
        <v>33</v>
      </c>
      <c r="F11" s="6" t="s">
        <v>34</v>
      </c>
    </row>
    <row r="12" spans="1:9" x14ac:dyDescent="0.2">
      <c r="A12" s="4" t="s">
        <v>26</v>
      </c>
      <c r="B12" s="4">
        <v>6</v>
      </c>
      <c r="C12" s="4">
        <v>183.77777777777783</v>
      </c>
      <c r="D12" s="4">
        <v>30.629629629629637</v>
      </c>
      <c r="E12" s="4">
        <v>19.642096642096654</v>
      </c>
      <c r="F12" s="4">
        <v>5.1815881244277328E-9</v>
      </c>
    </row>
    <row r="13" spans="1:9" x14ac:dyDescent="0.2">
      <c r="A13" s="4" t="s">
        <v>27</v>
      </c>
      <c r="B13" s="4">
        <v>29</v>
      </c>
      <c r="C13" s="4">
        <v>45.222222222222207</v>
      </c>
      <c r="D13" s="4">
        <v>1.559386973180076</v>
      </c>
      <c r="E13" s="4"/>
      <c r="F13" s="4"/>
    </row>
    <row r="14" spans="1:9" ht="16" thickBot="1" x14ac:dyDescent="0.25">
      <c r="A14" s="5" t="s">
        <v>28</v>
      </c>
      <c r="B14" s="5">
        <v>35</v>
      </c>
      <c r="C14" s="5">
        <v>229.00000000000003</v>
      </c>
      <c r="D14" s="5"/>
      <c r="E14" s="5"/>
      <c r="F14" s="5"/>
    </row>
    <row r="15" spans="1:9" ht="16" thickBot="1" x14ac:dyDescent="0.25"/>
    <row r="16" spans="1:9" x14ac:dyDescent="0.2">
      <c r="A16" s="6"/>
      <c r="B16" s="6" t="s">
        <v>35</v>
      </c>
      <c r="C16" s="6" t="s">
        <v>23</v>
      </c>
      <c r="D16" s="6" t="s">
        <v>36</v>
      </c>
      <c r="E16" s="6" t="s">
        <v>37</v>
      </c>
      <c r="F16" s="6" t="s">
        <v>38</v>
      </c>
      <c r="G16" s="6" t="s">
        <v>39</v>
      </c>
      <c r="H16" s="6" t="s">
        <v>40</v>
      </c>
      <c r="I16" s="6" t="s">
        <v>41</v>
      </c>
    </row>
    <row r="17" spans="1:9" x14ac:dyDescent="0.2">
      <c r="A17" s="4" t="s">
        <v>29</v>
      </c>
      <c r="B17" s="4">
        <v>4.472222222222225</v>
      </c>
      <c r="C17" s="4">
        <v>0.55064882972172347</v>
      </c>
      <c r="D17" s="4">
        <v>8.1217320020135375</v>
      </c>
      <c r="E17" s="4">
        <v>5.8941359966430877E-9</v>
      </c>
      <c r="F17" s="4">
        <v>3.3460189132696718</v>
      </c>
      <c r="G17" s="4">
        <v>5.5984255311747777</v>
      </c>
      <c r="H17" s="4">
        <v>3.3460189132696718</v>
      </c>
      <c r="I17" s="4">
        <v>5.5984255311747777</v>
      </c>
    </row>
    <row r="18" spans="1:9" ht="32" x14ac:dyDescent="0.2">
      <c r="A18" s="8" t="s">
        <v>12</v>
      </c>
      <c r="B18" s="4">
        <v>0.4166666666666663</v>
      </c>
      <c r="C18" s="4">
        <v>0.50980175447260467</v>
      </c>
      <c r="D18" s="4">
        <v>0.81731116656848779</v>
      </c>
      <c r="E18" s="4">
        <v>0.42041492437469263</v>
      </c>
      <c r="F18" s="4">
        <v>-0.62599499319196394</v>
      </c>
      <c r="G18" s="4">
        <v>1.4593283265252965</v>
      </c>
      <c r="H18" s="4">
        <v>-0.62599499319196394</v>
      </c>
      <c r="I18" s="4">
        <v>1.4593283265252965</v>
      </c>
    </row>
    <row r="19" spans="1:9" ht="32" x14ac:dyDescent="0.2">
      <c r="A19" s="8" t="s">
        <v>13</v>
      </c>
      <c r="B19" s="4">
        <v>3.5833333333333321</v>
      </c>
      <c r="C19" s="4">
        <v>0.50980175447260467</v>
      </c>
      <c r="D19" s="4">
        <v>7.0288760324889985</v>
      </c>
      <c r="E19" s="4">
        <v>9.9122849233327959E-8</v>
      </c>
      <c r="F19" s="4">
        <v>2.5406716734747019</v>
      </c>
      <c r="G19" s="4">
        <v>4.6259949931919628</v>
      </c>
      <c r="H19" s="4">
        <v>2.5406716734747019</v>
      </c>
      <c r="I19" s="4">
        <v>4.6259949931919628</v>
      </c>
    </row>
    <row r="20" spans="1:9" ht="32" x14ac:dyDescent="0.2">
      <c r="A20" s="8" t="s">
        <v>14</v>
      </c>
      <c r="B20" s="4">
        <v>0.88888888888888795</v>
      </c>
      <c r="C20" s="4">
        <v>0.4162513894778378</v>
      </c>
      <c r="D20" s="4">
        <v>2.1354616737831082</v>
      </c>
      <c r="E20" s="4">
        <v>4.1296465890341798E-2</v>
      </c>
      <c r="F20" s="4">
        <v>3.7559208549888652E-2</v>
      </c>
      <c r="G20" s="4">
        <v>1.7402185692278873</v>
      </c>
      <c r="H20" s="4">
        <v>3.7559208549888652E-2</v>
      </c>
      <c r="I20" s="4">
        <v>1.7402185692278873</v>
      </c>
    </row>
    <row r="21" spans="1:9" ht="32" x14ac:dyDescent="0.2">
      <c r="A21" s="8" t="s">
        <v>15</v>
      </c>
      <c r="B21" s="4">
        <v>0.99999999999999911</v>
      </c>
      <c r="C21" s="4">
        <v>0.41625138947783791</v>
      </c>
      <c r="D21" s="4">
        <v>2.4023943830059964</v>
      </c>
      <c r="E21" s="4">
        <v>2.2914437943940283E-2</v>
      </c>
      <c r="F21" s="4">
        <v>0.14867031966099958</v>
      </c>
      <c r="G21" s="4">
        <v>1.8513296803389987</v>
      </c>
      <c r="H21" s="4">
        <v>0.14867031966099958</v>
      </c>
      <c r="I21" s="4">
        <v>1.8513296803389987</v>
      </c>
    </row>
    <row r="22" spans="1:9" ht="32" x14ac:dyDescent="0.2">
      <c r="A22" s="8" t="s">
        <v>16</v>
      </c>
      <c r="B22" s="4">
        <v>-1.2500000000000007</v>
      </c>
      <c r="C22" s="4">
        <v>0.50980175447260467</v>
      </c>
      <c r="D22" s="4">
        <v>-2.4519334997054667</v>
      </c>
      <c r="E22" s="4">
        <v>2.0467862281919165E-2</v>
      </c>
      <c r="F22" s="4">
        <v>-2.2926616598586311</v>
      </c>
      <c r="G22" s="4">
        <v>-0.2073383401413704</v>
      </c>
      <c r="H22" s="4">
        <v>-2.2926616598586311</v>
      </c>
      <c r="I22" s="4">
        <v>-0.2073383401413704</v>
      </c>
    </row>
    <row r="23" spans="1:9" ht="33" thickBot="1" x14ac:dyDescent="0.25">
      <c r="A23" s="9" t="s">
        <v>17</v>
      </c>
      <c r="B23" s="5">
        <v>-3.5</v>
      </c>
      <c r="C23" s="5">
        <v>0.50980175447260467</v>
      </c>
      <c r="D23" s="5">
        <v>-6.865413799175303</v>
      </c>
      <c r="E23" s="5">
        <v>1.5302242127189583E-7</v>
      </c>
      <c r="F23" s="5">
        <v>-4.5426616598586307</v>
      </c>
      <c r="G23" s="5">
        <v>-2.4573383401413698</v>
      </c>
      <c r="H23" s="5">
        <v>-4.5426616598586307</v>
      </c>
      <c r="I23" s="5">
        <v>-2.4573383401413698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C3C09-F0DB-624D-80B1-3AC9DDE15057}">
  <dimension ref="A1:I20"/>
  <sheetViews>
    <sheetView workbookViewId="0">
      <selection activeCell="K14" sqref="K14"/>
    </sheetView>
  </sheetViews>
  <sheetFormatPr baseColWidth="10" defaultRowHeight="15" x14ac:dyDescent="0.2"/>
  <cols>
    <col min="1" max="1" width="11.33203125" customWidth="1"/>
    <col min="2" max="2" width="16.83203125" bestFit="1" customWidth="1"/>
    <col min="3" max="3" width="12.83203125" customWidth="1"/>
    <col min="5" max="5" width="14.33203125" bestFit="1" customWidth="1"/>
    <col min="6" max="6" width="11.1640625" customWidth="1"/>
    <col min="7" max="7" width="16.6640625" customWidth="1"/>
    <col min="8" max="8" width="15.1640625" customWidth="1"/>
    <col min="9" max="9" width="13.1640625" customWidth="1"/>
  </cols>
  <sheetData>
    <row r="1" spans="1:9" x14ac:dyDescent="0.2">
      <c r="A1" t="s">
        <v>42</v>
      </c>
      <c r="B1" t="s">
        <v>43</v>
      </c>
      <c r="C1" t="s">
        <v>56</v>
      </c>
      <c r="F1" s="1" t="s">
        <v>112</v>
      </c>
      <c r="G1" s="2"/>
      <c r="H1" s="2"/>
      <c r="I1" s="3"/>
    </row>
    <row r="2" spans="1:9" x14ac:dyDescent="0.2">
      <c r="A2" t="s">
        <v>44</v>
      </c>
      <c r="B2" t="s">
        <v>45</v>
      </c>
      <c r="C2" s="11">
        <v>0</v>
      </c>
      <c r="F2" s="14" t="s">
        <v>72</v>
      </c>
      <c r="G2" s="15"/>
      <c r="H2" s="15"/>
      <c r="I2" s="16"/>
    </row>
    <row r="3" spans="1:9" x14ac:dyDescent="0.2">
      <c r="A3" t="s">
        <v>44</v>
      </c>
      <c r="B3" t="s">
        <v>46</v>
      </c>
      <c r="C3" s="12">
        <v>0.4166666666666663</v>
      </c>
      <c r="F3" t="s">
        <v>59</v>
      </c>
      <c r="G3" t="s">
        <v>58</v>
      </c>
      <c r="H3" t="s">
        <v>57</v>
      </c>
      <c r="I3" t="s">
        <v>71</v>
      </c>
    </row>
    <row r="4" spans="1:9" x14ac:dyDescent="0.2">
      <c r="A4" t="s">
        <v>44</v>
      </c>
      <c r="B4" t="s">
        <v>47</v>
      </c>
      <c r="C4" s="12">
        <v>3.5833333333333321</v>
      </c>
      <c r="F4" t="s">
        <v>60</v>
      </c>
      <c r="G4" s="11">
        <f>Table3[[#This Row],[Utility score]]</f>
        <v>3.5833333333333321</v>
      </c>
      <c r="H4" t="s">
        <v>64</v>
      </c>
      <c r="I4" s="13">
        <f>C2</f>
        <v>0</v>
      </c>
    </row>
    <row r="5" spans="1:9" x14ac:dyDescent="0.2">
      <c r="A5" t="s">
        <v>48</v>
      </c>
      <c r="B5" t="s">
        <v>49</v>
      </c>
      <c r="C5" s="11">
        <v>0</v>
      </c>
      <c r="F5" t="s">
        <v>61</v>
      </c>
      <c r="G5" s="11">
        <f>C6</f>
        <v>0.88888888888888795</v>
      </c>
      <c r="H5" t="s">
        <v>65</v>
      </c>
      <c r="I5">
        <v>0</v>
      </c>
    </row>
    <row r="6" spans="1:9" x14ac:dyDescent="0.2">
      <c r="A6" t="s">
        <v>48</v>
      </c>
      <c r="B6" t="s">
        <v>50</v>
      </c>
      <c r="C6" s="12">
        <v>0.88888888888888795</v>
      </c>
      <c r="F6" t="s">
        <v>62</v>
      </c>
      <c r="G6" s="11">
        <f>C8</f>
        <v>0.99999999999999911</v>
      </c>
      <c r="H6" t="s">
        <v>66</v>
      </c>
      <c r="I6">
        <v>0</v>
      </c>
    </row>
    <row r="7" spans="1:9" x14ac:dyDescent="0.2">
      <c r="A7" t="s">
        <v>51</v>
      </c>
      <c r="B7" t="s">
        <v>52</v>
      </c>
      <c r="C7" s="11">
        <v>0</v>
      </c>
      <c r="F7" t="s">
        <v>63</v>
      </c>
      <c r="G7" s="10">
        <f>C11</f>
        <v>-3.5</v>
      </c>
      <c r="H7" t="s">
        <v>67</v>
      </c>
      <c r="I7">
        <v>0</v>
      </c>
    </row>
    <row r="8" spans="1:9" x14ac:dyDescent="0.2">
      <c r="A8" t="s">
        <v>51</v>
      </c>
      <c r="B8" t="s">
        <v>47</v>
      </c>
      <c r="C8" s="12">
        <v>0.99999999999999911</v>
      </c>
      <c r="F8" t="s">
        <v>29</v>
      </c>
      <c r="G8">
        <v>4.47</v>
      </c>
      <c r="H8" t="s">
        <v>68</v>
      </c>
      <c r="I8">
        <v>4.47</v>
      </c>
    </row>
    <row r="9" spans="1:9" x14ac:dyDescent="0.2">
      <c r="A9" t="s">
        <v>53</v>
      </c>
      <c r="B9" t="s">
        <v>54</v>
      </c>
      <c r="C9" s="11">
        <v>0</v>
      </c>
      <c r="F9" t="s">
        <v>69</v>
      </c>
      <c r="G9" s="10">
        <f>SUM(G4:G8)</f>
        <v>6.4422222222222185</v>
      </c>
      <c r="H9" t="s">
        <v>69</v>
      </c>
      <c r="I9" s="10">
        <f>SUM(I4:I8)</f>
        <v>4.47</v>
      </c>
    </row>
    <row r="10" spans="1:9" x14ac:dyDescent="0.2">
      <c r="A10" t="s">
        <v>53</v>
      </c>
      <c r="B10" t="s">
        <v>46</v>
      </c>
      <c r="C10" s="12">
        <v>-1.2500000000000007</v>
      </c>
    </row>
    <row r="11" spans="1:9" x14ac:dyDescent="0.2">
      <c r="A11" t="s">
        <v>53</v>
      </c>
      <c r="B11" t="s">
        <v>55</v>
      </c>
      <c r="C11" s="10">
        <v>-3.5</v>
      </c>
    </row>
    <row r="13" spans="1:9" x14ac:dyDescent="0.2">
      <c r="F13" s="22" t="s">
        <v>42</v>
      </c>
      <c r="G13" s="17" t="s">
        <v>73</v>
      </c>
      <c r="H13" s="17" t="s">
        <v>74</v>
      </c>
    </row>
    <row r="14" spans="1:9" x14ac:dyDescent="0.2">
      <c r="F14" s="18" t="s">
        <v>44</v>
      </c>
      <c r="G14" s="20">
        <f>C4-C2</f>
        <v>3.5833333333333321</v>
      </c>
      <c r="H14" s="24">
        <f>G14/G$18</f>
        <v>0.39938080495356043</v>
      </c>
    </row>
    <row r="15" spans="1:9" x14ac:dyDescent="0.2">
      <c r="F15" s="19" t="s">
        <v>48</v>
      </c>
      <c r="G15" s="21">
        <f>C6-C5</f>
        <v>0.88888888888888795</v>
      </c>
      <c r="H15" s="25">
        <f t="shared" ref="H15:H17" si="0">G15/G$18</f>
        <v>9.9071207430340494E-2</v>
      </c>
    </row>
    <row r="16" spans="1:9" x14ac:dyDescent="0.2">
      <c r="F16" s="18" t="s">
        <v>51</v>
      </c>
      <c r="G16" s="20">
        <f>C8-C7</f>
        <v>0.99999999999999911</v>
      </c>
      <c r="H16" s="24">
        <f t="shared" si="0"/>
        <v>0.11145510835913308</v>
      </c>
    </row>
    <row r="17" spans="1:8" x14ac:dyDescent="0.2">
      <c r="F17" s="19" t="s">
        <v>53</v>
      </c>
      <c r="G17" s="21">
        <f>C9-C11</f>
        <v>3.5</v>
      </c>
      <c r="H17" s="25">
        <f t="shared" si="0"/>
        <v>0.39009287925696612</v>
      </c>
    </row>
    <row r="18" spans="1:8" x14ac:dyDescent="0.2">
      <c r="A18" s="26" t="s">
        <v>113</v>
      </c>
      <c r="B18" s="26"/>
      <c r="C18" s="26"/>
      <c r="F18" t="s">
        <v>75</v>
      </c>
      <c r="G18" s="11">
        <f>SUM(G14:G17)</f>
        <v>8.9722222222222179</v>
      </c>
      <c r="H18" s="23">
        <f>SUM(H14:H17)</f>
        <v>1</v>
      </c>
    </row>
    <row r="19" spans="1:8" x14ac:dyDescent="0.2">
      <c r="A19" s="26"/>
      <c r="B19" s="26"/>
      <c r="C19" s="26"/>
    </row>
    <row r="20" spans="1:8" x14ac:dyDescent="0.2">
      <c r="A20" s="26"/>
      <c r="B20" s="26"/>
      <c r="C20" s="26"/>
    </row>
  </sheetData>
  <mergeCells count="2">
    <mergeCell ref="F2:I2"/>
    <mergeCell ref="A18:C20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FDFA9-5366-3D41-B24E-12A775A59410}">
  <dimension ref="B2:I35"/>
  <sheetViews>
    <sheetView topLeftCell="A10" zoomScale="114" workbookViewId="0">
      <selection activeCell="F17" sqref="F17"/>
    </sheetView>
  </sheetViews>
  <sheetFormatPr baseColWidth="10" defaultRowHeight="15" x14ac:dyDescent="0.2"/>
  <cols>
    <col min="2" max="2" width="16.6640625" customWidth="1"/>
    <col min="3" max="3" width="14" customWidth="1"/>
    <col min="4" max="4" width="13.6640625" customWidth="1"/>
    <col min="5" max="5" width="17.1640625" customWidth="1"/>
    <col min="6" max="6" width="13.83203125" customWidth="1"/>
    <col min="7" max="7" width="13" customWidth="1"/>
    <col min="9" max="9" width="9" customWidth="1"/>
  </cols>
  <sheetData>
    <row r="2" spans="2:8" x14ac:dyDescent="0.2">
      <c r="E2" s="32" t="s">
        <v>89</v>
      </c>
      <c r="F2" s="32"/>
      <c r="G2" s="32"/>
      <c r="H2" s="32"/>
    </row>
    <row r="3" spans="2:8" x14ac:dyDescent="0.2">
      <c r="B3" s="31" t="s">
        <v>76</v>
      </c>
      <c r="C3" s="39" t="s">
        <v>70</v>
      </c>
      <c r="E3" s="33" t="s">
        <v>90</v>
      </c>
      <c r="F3" s="3" t="s">
        <v>91</v>
      </c>
      <c r="G3" s="33" t="s">
        <v>92</v>
      </c>
      <c r="H3" s="3" t="s">
        <v>93</v>
      </c>
    </row>
    <row r="4" spans="2:8" x14ac:dyDescent="0.2">
      <c r="B4" s="27" t="s">
        <v>77</v>
      </c>
      <c r="C4" s="27">
        <v>3</v>
      </c>
      <c r="D4" s="28"/>
      <c r="E4" s="34" t="s">
        <v>94</v>
      </c>
      <c r="F4" s="35">
        <f>C15+C16</f>
        <v>5</v>
      </c>
      <c r="G4" s="34" t="s">
        <v>95</v>
      </c>
      <c r="H4" s="35">
        <f>C7</f>
        <v>10</v>
      </c>
    </row>
    <row r="5" spans="2:8" x14ac:dyDescent="0.2">
      <c r="B5" s="27" t="s">
        <v>78</v>
      </c>
      <c r="C5" s="27">
        <v>1</v>
      </c>
      <c r="E5" s="36" t="s">
        <v>96</v>
      </c>
      <c r="F5" s="37">
        <f>C9*C15 + C10*C16</f>
        <v>20</v>
      </c>
      <c r="G5" s="36" t="s">
        <v>95</v>
      </c>
      <c r="H5" s="37">
        <f>C8</f>
        <v>20</v>
      </c>
    </row>
    <row r="6" spans="2:8" x14ac:dyDescent="0.2">
      <c r="B6" s="27" t="s">
        <v>79</v>
      </c>
      <c r="C6" s="29">
        <f>1+C4</f>
        <v>4</v>
      </c>
      <c r="E6" s="34" t="s">
        <v>97</v>
      </c>
      <c r="F6" s="38"/>
      <c r="G6" s="34"/>
      <c r="H6" s="38"/>
    </row>
    <row r="7" spans="2:8" x14ac:dyDescent="0.2">
      <c r="B7" s="27" t="s">
        <v>80</v>
      </c>
      <c r="C7" s="27">
        <v>10</v>
      </c>
    </row>
    <row r="8" spans="2:8" x14ac:dyDescent="0.2">
      <c r="B8" s="27" t="s">
        <v>81</v>
      </c>
      <c r="C8" s="27">
        <v>20</v>
      </c>
    </row>
    <row r="9" spans="2:8" x14ac:dyDescent="0.2">
      <c r="B9" s="27" t="s">
        <v>82</v>
      </c>
      <c r="C9" s="27">
        <v>2</v>
      </c>
    </row>
    <row r="10" spans="2:8" x14ac:dyDescent="0.2">
      <c r="B10" s="27" t="s">
        <v>83</v>
      </c>
      <c r="C10" s="27">
        <v>4</v>
      </c>
    </row>
    <row r="14" spans="2:8" x14ac:dyDescent="0.2">
      <c r="B14" s="31" t="s">
        <v>84</v>
      </c>
      <c r="C14" s="39" t="s">
        <v>70</v>
      </c>
    </row>
    <row r="15" spans="2:8" x14ac:dyDescent="0.2">
      <c r="B15" s="27" t="s">
        <v>85</v>
      </c>
      <c r="C15" s="27">
        <v>0</v>
      </c>
      <c r="D15" s="28"/>
    </row>
    <row r="16" spans="2:8" x14ac:dyDescent="0.2">
      <c r="B16" s="27" t="s">
        <v>86</v>
      </c>
      <c r="C16" s="27">
        <v>5</v>
      </c>
      <c r="D16" s="28"/>
    </row>
    <row r="18" spans="2:9" x14ac:dyDescent="0.2">
      <c r="B18" s="31" t="s">
        <v>87</v>
      </c>
      <c r="C18" s="39" t="s">
        <v>70</v>
      </c>
    </row>
    <row r="19" spans="2:9" x14ac:dyDescent="0.2">
      <c r="B19" s="27" t="s">
        <v>88</v>
      </c>
      <c r="C19" s="27">
        <f>C5*C15 + C6*C16</f>
        <v>20</v>
      </c>
      <c r="D19" s="28"/>
    </row>
    <row r="22" spans="2:9" x14ac:dyDescent="0.2">
      <c r="B22" s="31" t="s">
        <v>98</v>
      </c>
      <c r="C22" s="39" t="s">
        <v>70</v>
      </c>
    </row>
    <row r="23" spans="2:9" x14ac:dyDescent="0.2">
      <c r="B23" s="27" t="s">
        <v>99</v>
      </c>
      <c r="C23" s="27">
        <f>C15</f>
        <v>0</v>
      </c>
    </row>
    <row r="24" spans="2:9" x14ac:dyDescent="0.2">
      <c r="B24" s="27" t="s">
        <v>100</v>
      </c>
      <c r="C24" s="27">
        <f>C16</f>
        <v>5</v>
      </c>
    </row>
    <row r="25" spans="2:9" x14ac:dyDescent="0.2">
      <c r="B25" s="27" t="s">
        <v>101</v>
      </c>
      <c r="C25" s="30">
        <f>C19</f>
        <v>20</v>
      </c>
    </row>
    <row r="26" spans="2:9" x14ac:dyDescent="0.2">
      <c r="B26" s="27"/>
    </row>
    <row r="27" spans="2:9" x14ac:dyDescent="0.2">
      <c r="B27" s="27"/>
    </row>
    <row r="28" spans="2:9" ht="48" x14ac:dyDescent="0.2">
      <c r="B28" s="41" t="s">
        <v>102</v>
      </c>
      <c r="C28" s="42" t="s">
        <v>103</v>
      </c>
      <c r="D28" s="41" t="s">
        <v>104</v>
      </c>
      <c r="E28" s="42" t="s">
        <v>105</v>
      </c>
      <c r="F28" s="41" t="s">
        <v>106</v>
      </c>
      <c r="G28" s="42" t="s">
        <v>107</v>
      </c>
      <c r="H28" s="41" t="s">
        <v>111</v>
      </c>
      <c r="I28" s="41" t="s">
        <v>110</v>
      </c>
    </row>
    <row r="29" spans="2:9" x14ac:dyDescent="0.2">
      <c r="B29" s="34">
        <v>0</v>
      </c>
      <c r="C29" s="35">
        <v>1</v>
      </c>
      <c r="D29" s="34">
        <v>10</v>
      </c>
      <c r="E29" s="35">
        <v>0</v>
      </c>
      <c r="F29" s="34">
        <v>10</v>
      </c>
      <c r="G29" s="35">
        <v>20</v>
      </c>
      <c r="H29" s="34">
        <v>10</v>
      </c>
      <c r="I29" s="34" t="s">
        <v>109</v>
      </c>
    </row>
    <row r="30" spans="2:9" x14ac:dyDescent="0.2">
      <c r="B30" s="36">
        <v>0.5</v>
      </c>
      <c r="C30" s="37">
        <v>1.5</v>
      </c>
      <c r="D30" s="36">
        <v>10</v>
      </c>
      <c r="E30" s="37">
        <v>0</v>
      </c>
      <c r="F30" s="36">
        <v>10</v>
      </c>
      <c r="G30" s="37">
        <v>20</v>
      </c>
      <c r="H30" s="36">
        <v>10</v>
      </c>
      <c r="I30" s="36" t="s">
        <v>109</v>
      </c>
    </row>
    <row r="31" spans="2:9" x14ac:dyDescent="0.2">
      <c r="B31" s="34">
        <v>1</v>
      </c>
      <c r="C31" s="38">
        <v>2</v>
      </c>
      <c r="D31" s="34">
        <v>0</v>
      </c>
      <c r="E31" s="38">
        <v>5</v>
      </c>
      <c r="F31" s="34">
        <v>10</v>
      </c>
      <c r="G31" s="38">
        <v>20</v>
      </c>
      <c r="H31" s="34">
        <v>5</v>
      </c>
      <c r="I31" s="34" t="s">
        <v>114</v>
      </c>
    </row>
    <row r="32" spans="2:9" x14ac:dyDescent="0.2">
      <c r="B32" s="36">
        <v>1.5</v>
      </c>
      <c r="C32" s="37">
        <v>2.5</v>
      </c>
      <c r="D32" s="36">
        <v>0</v>
      </c>
      <c r="E32" s="37">
        <v>5</v>
      </c>
      <c r="F32" s="36">
        <v>12.5</v>
      </c>
      <c r="G32" s="37">
        <v>20</v>
      </c>
      <c r="H32" s="36">
        <v>5</v>
      </c>
      <c r="I32" s="36" t="s">
        <v>108</v>
      </c>
    </row>
    <row r="33" spans="2:9" x14ac:dyDescent="0.2">
      <c r="B33" s="34">
        <v>2</v>
      </c>
      <c r="C33" s="35">
        <v>3</v>
      </c>
      <c r="D33" s="34">
        <v>0</v>
      </c>
      <c r="E33" s="35">
        <v>5</v>
      </c>
      <c r="F33" s="34">
        <v>15</v>
      </c>
      <c r="G33" s="35">
        <v>20</v>
      </c>
      <c r="H33" s="34">
        <v>5</v>
      </c>
      <c r="I33" s="34" t="s">
        <v>108</v>
      </c>
    </row>
    <row r="34" spans="2:9" x14ac:dyDescent="0.2">
      <c r="B34" s="36">
        <v>2.5</v>
      </c>
      <c r="C34" s="37">
        <v>3.5</v>
      </c>
      <c r="D34" s="36">
        <v>0</v>
      </c>
      <c r="E34" s="37">
        <v>5</v>
      </c>
      <c r="F34" s="36">
        <v>17.5</v>
      </c>
      <c r="G34" s="37">
        <v>20</v>
      </c>
      <c r="H34" s="36">
        <v>5</v>
      </c>
      <c r="I34" s="36" t="s">
        <v>108</v>
      </c>
    </row>
    <row r="35" spans="2:9" x14ac:dyDescent="0.2">
      <c r="B35" s="34">
        <v>3</v>
      </c>
      <c r="C35" s="35">
        <v>4</v>
      </c>
      <c r="D35" s="34">
        <v>0</v>
      </c>
      <c r="E35" s="35">
        <v>5</v>
      </c>
      <c r="F35" s="34">
        <v>20</v>
      </c>
      <c r="G35" s="35">
        <v>20</v>
      </c>
      <c r="H35" s="34">
        <v>5</v>
      </c>
      <c r="I35" s="34" t="s">
        <v>108</v>
      </c>
    </row>
  </sheetData>
  <mergeCells count="1">
    <mergeCell ref="E2:H2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66F0-3E30-D74A-846B-15BDF28707C4}">
  <dimension ref="B2:I36"/>
  <sheetViews>
    <sheetView topLeftCell="A3" workbookViewId="0">
      <selection activeCell="K35" sqref="K35"/>
    </sheetView>
  </sheetViews>
  <sheetFormatPr baseColWidth="10" defaultRowHeight="15" x14ac:dyDescent="0.2"/>
  <cols>
    <col min="2" max="2" width="13.33203125" customWidth="1"/>
    <col min="3" max="3" width="20.5" bestFit="1" customWidth="1"/>
    <col min="4" max="4" width="14.6640625" bestFit="1" customWidth="1"/>
    <col min="5" max="5" width="19.1640625" customWidth="1"/>
    <col min="7" max="7" width="12.5" bestFit="1" customWidth="1"/>
    <col min="8" max="8" width="12.1640625" bestFit="1" customWidth="1"/>
  </cols>
  <sheetData>
    <row r="2" spans="2:8" x14ac:dyDescent="0.2">
      <c r="E2" s="32" t="s">
        <v>89</v>
      </c>
      <c r="F2" s="32"/>
      <c r="G2" s="32"/>
      <c r="H2" s="32"/>
    </row>
    <row r="3" spans="2:8" x14ac:dyDescent="0.2">
      <c r="B3" s="31" t="s">
        <v>76</v>
      </c>
      <c r="C3" s="39" t="s">
        <v>70</v>
      </c>
      <c r="E3" s="33" t="s">
        <v>90</v>
      </c>
      <c r="F3" s="3" t="s">
        <v>91</v>
      </c>
      <c r="G3" s="33" t="s">
        <v>92</v>
      </c>
      <c r="H3" s="3" t="s">
        <v>93</v>
      </c>
    </row>
    <row r="4" spans="2:8" x14ac:dyDescent="0.2">
      <c r="B4" s="27" t="s">
        <v>77</v>
      </c>
      <c r="C4" s="27">
        <v>3</v>
      </c>
      <c r="D4" s="28"/>
      <c r="E4" s="34" t="s">
        <v>94</v>
      </c>
      <c r="F4" s="35">
        <v>0</v>
      </c>
      <c r="G4" s="34" t="s">
        <v>95</v>
      </c>
      <c r="H4" s="35">
        <f>C7</f>
        <v>10</v>
      </c>
    </row>
    <row r="5" spans="2:8" x14ac:dyDescent="0.2">
      <c r="B5" s="27" t="s">
        <v>78</v>
      </c>
      <c r="C5" s="27">
        <v>1</v>
      </c>
      <c r="E5" s="36" t="s">
        <v>96</v>
      </c>
      <c r="F5" s="37">
        <f>C9*C15 + C10*C16</f>
        <v>24</v>
      </c>
      <c r="G5" s="36" t="s">
        <v>95</v>
      </c>
      <c r="H5" s="37">
        <f>C8</f>
        <v>25</v>
      </c>
    </row>
    <row r="6" spans="2:8" x14ac:dyDescent="0.2">
      <c r="B6" s="27" t="s">
        <v>79</v>
      </c>
      <c r="C6" s="29">
        <f>1+C4</f>
        <v>4</v>
      </c>
      <c r="E6" s="34" t="s">
        <v>97</v>
      </c>
      <c r="F6" s="38"/>
      <c r="G6" s="34"/>
      <c r="H6" s="38"/>
    </row>
    <row r="7" spans="2:8" x14ac:dyDescent="0.2">
      <c r="B7" s="27" t="s">
        <v>80</v>
      </c>
      <c r="C7" s="27">
        <v>10</v>
      </c>
    </row>
    <row r="8" spans="2:8" x14ac:dyDescent="0.2">
      <c r="B8" s="27" t="s">
        <v>81</v>
      </c>
      <c r="C8" s="27">
        <v>25</v>
      </c>
    </row>
    <row r="9" spans="2:8" x14ac:dyDescent="0.2">
      <c r="B9" s="27" t="s">
        <v>82</v>
      </c>
      <c r="C9" s="27">
        <v>2</v>
      </c>
    </row>
    <row r="10" spans="2:8" x14ac:dyDescent="0.2">
      <c r="B10" s="27" t="s">
        <v>83</v>
      </c>
      <c r="C10" s="27">
        <v>4</v>
      </c>
    </row>
    <row r="14" spans="2:8" x14ac:dyDescent="0.2">
      <c r="B14" s="31" t="s">
        <v>84</v>
      </c>
      <c r="C14" s="39" t="s">
        <v>70</v>
      </c>
    </row>
    <row r="15" spans="2:8" x14ac:dyDescent="0.2">
      <c r="B15" s="27" t="s">
        <v>85</v>
      </c>
      <c r="C15" s="27">
        <v>0</v>
      </c>
      <c r="D15" s="28"/>
    </row>
    <row r="16" spans="2:8" x14ac:dyDescent="0.2">
      <c r="B16" s="27" t="s">
        <v>86</v>
      </c>
      <c r="C16" s="27">
        <v>6</v>
      </c>
      <c r="D16" s="28"/>
    </row>
    <row r="18" spans="2:9" x14ac:dyDescent="0.2">
      <c r="B18" s="31" t="s">
        <v>87</v>
      </c>
      <c r="C18" s="39" t="s">
        <v>70</v>
      </c>
    </row>
    <row r="19" spans="2:9" x14ac:dyDescent="0.2">
      <c r="B19" s="27" t="s">
        <v>88</v>
      </c>
      <c r="C19" s="27">
        <f>C5*C15 + C6*C16</f>
        <v>24</v>
      </c>
      <c r="D19" s="28"/>
    </row>
    <row r="22" spans="2:9" x14ac:dyDescent="0.2">
      <c r="B22" s="31" t="s">
        <v>98</v>
      </c>
      <c r="C22" s="39" t="s">
        <v>70</v>
      </c>
    </row>
    <row r="23" spans="2:9" x14ac:dyDescent="0.2">
      <c r="B23" s="27" t="s">
        <v>99</v>
      </c>
      <c r="C23" s="27">
        <f>C15</f>
        <v>0</v>
      </c>
    </row>
    <row r="24" spans="2:9" x14ac:dyDescent="0.2">
      <c r="B24" s="27" t="s">
        <v>100</v>
      </c>
      <c r="C24" s="27">
        <f>C16</f>
        <v>6</v>
      </c>
    </row>
    <row r="25" spans="2:9" x14ac:dyDescent="0.2">
      <c r="B25" s="27" t="s">
        <v>101</v>
      </c>
      <c r="C25" s="30">
        <f>C19</f>
        <v>24</v>
      </c>
    </row>
    <row r="26" spans="2:9" x14ac:dyDescent="0.2">
      <c r="B26" s="27"/>
    </row>
    <row r="27" spans="2:9" x14ac:dyDescent="0.2">
      <c r="B27" s="27"/>
    </row>
    <row r="28" spans="2:9" x14ac:dyDescent="0.2">
      <c r="B28" s="27"/>
    </row>
    <row r="29" spans="2:9" ht="32" x14ac:dyDescent="0.2">
      <c r="B29" s="41" t="s">
        <v>102</v>
      </c>
      <c r="C29" s="42" t="s">
        <v>103</v>
      </c>
      <c r="D29" s="41" t="s">
        <v>104</v>
      </c>
      <c r="E29" s="42" t="s">
        <v>105</v>
      </c>
      <c r="F29" s="41" t="s">
        <v>106</v>
      </c>
      <c r="G29" s="42" t="s">
        <v>107</v>
      </c>
      <c r="H29" s="42" t="s">
        <v>111</v>
      </c>
      <c r="I29" s="42" t="s">
        <v>110</v>
      </c>
    </row>
    <row r="30" spans="2:9" x14ac:dyDescent="0.2">
      <c r="B30" s="34">
        <v>0</v>
      </c>
      <c r="C30" s="35">
        <v>1</v>
      </c>
      <c r="D30" s="34">
        <v>8</v>
      </c>
      <c r="E30" s="35">
        <v>2</v>
      </c>
      <c r="F30" s="34">
        <f>(D30*C$5)+(E30*(1+B30))</f>
        <v>10</v>
      </c>
      <c r="G30" s="34">
        <f>(C$9*D30)+(C$10*E30)</f>
        <v>24</v>
      </c>
      <c r="H30" s="35">
        <f>D30+E30</f>
        <v>10</v>
      </c>
      <c r="I30" s="35" t="s">
        <v>109</v>
      </c>
    </row>
    <row r="31" spans="2:9" x14ac:dyDescent="0.2">
      <c r="B31" s="36">
        <v>0.5</v>
      </c>
      <c r="C31" s="37">
        <v>1.5</v>
      </c>
      <c r="D31" s="36">
        <v>8</v>
      </c>
      <c r="E31" s="37">
        <v>2</v>
      </c>
      <c r="F31" s="36">
        <f t="shared" ref="F31:F36" si="0">(D31*C$5)+(E31*(1+B31))</f>
        <v>11</v>
      </c>
      <c r="G31" s="36">
        <f t="shared" ref="G31:G36" si="1">(C$9*D31)+(C$10*E31)</f>
        <v>24</v>
      </c>
      <c r="H31" s="37">
        <f t="shared" ref="H31:H36" si="2">D31+E31</f>
        <v>10</v>
      </c>
      <c r="I31" s="37" t="s">
        <v>109</v>
      </c>
    </row>
    <row r="32" spans="2:9" x14ac:dyDescent="0.2">
      <c r="B32" s="34">
        <v>1</v>
      </c>
      <c r="C32" s="38">
        <v>2</v>
      </c>
      <c r="D32" s="34">
        <v>0</v>
      </c>
      <c r="E32" s="40">
        <v>6</v>
      </c>
      <c r="F32" s="34">
        <f t="shared" si="0"/>
        <v>12</v>
      </c>
      <c r="G32" s="34">
        <f t="shared" si="1"/>
        <v>24</v>
      </c>
      <c r="H32" s="38">
        <f t="shared" si="2"/>
        <v>6</v>
      </c>
      <c r="I32" s="38" t="s">
        <v>114</v>
      </c>
    </row>
    <row r="33" spans="2:9" x14ac:dyDescent="0.2">
      <c r="B33" s="36">
        <v>1.5</v>
      </c>
      <c r="C33" s="37">
        <v>2.5</v>
      </c>
      <c r="D33" s="36">
        <v>0</v>
      </c>
      <c r="E33" s="37">
        <v>6</v>
      </c>
      <c r="F33" s="36">
        <f t="shared" si="0"/>
        <v>15</v>
      </c>
      <c r="G33" s="36">
        <f t="shared" si="1"/>
        <v>24</v>
      </c>
      <c r="H33" s="37">
        <f t="shared" si="2"/>
        <v>6</v>
      </c>
      <c r="I33" s="37" t="s">
        <v>108</v>
      </c>
    </row>
    <row r="34" spans="2:9" x14ac:dyDescent="0.2">
      <c r="B34" s="34">
        <v>2</v>
      </c>
      <c r="C34" s="35">
        <v>3</v>
      </c>
      <c r="D34" s="34">
        <v>0</v>
      </c>
      <c r="E34" s="35">
        <v>6</v>
      </c>
      <c r="F34" s="34">
        <f t="shared" si="0"/>
        <v>18</v>
      </c>
      <c r="G34" s="34">
        <f t="shared" si="1"/>
        <v>24</v>
      </c>
      <c r="H34" s="35">
        <f t="shared" si="2"/>
        <v>6</v>
      </c>
      <c r="I34" s="35" t="s">
        <v>108</v>
      </c>
    </row>
    <row r="35" spans="2:9" x14ac:dyDescent="0.2">
      <c r="B35" s="36">
        <v>2.5</v>
      </c>
      <c r="C35" s="37">
        <v>3.5</v>
      </c>
      <c r="D35" s="36">
        <v>0</v>
      </c>
      <c r="E35" s="37">
        <v>6</v>
      </c>
      <c r="F35" s="36">
        <f t="shared" si="0"/>
        <v>21</v>
      </c>
      <c r="G35" s="36">
        <f t="shared" si="1"/>
        <v>24</v>
      </c>
      <c r="H35" s="37">
        <f t="shared" si="2"/>
        <v>6</v>
      </c>
      <c r="I35" s="37" t="s">
        <v>108</v>
      </c>
    </row>
    <row r="36" spans="2:9" x14ac:dyDescent="0.2">
      <c r="B36" s="34">
        <v>3</v>
      </c>
      <c r="C36" s="35">
        <v>4</v>
      </c>
      <c r="D36" s="34">
        <v>0</v>
      </c>
      <c r="E36" s="35">
        <v>6</v>
      </c>
      <c r="F36" s="34">
        <f t="shared" si="0"/>
        <v>24</v>
      </c>
      <c r="G36" s="34">
        <f t="shared" si="1"/>
        <v>24</v>
      </c>
      <c r="H36" s="35">
        <f t="shared" si="2"/>
        <v>6</v>
      </c>
      <c r="I36" s="35" t="s">
        <v>108</v>
      </c>
    </row>
  </sheetData>
  <mergeCells count="1">
    <mergeCell ref="E2:H2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9C8D3-F503-224E-9703-DFDDF2210240}">
  <dimension ref="B2:I36"/>
  <sheetViews>
    <sheetView tabSelected="1" zoomScale="101" workbookViewId="0">
      <selection activeCell="H30" sqref="H30"/>
    </sheetView>
  </sheetViews>
  <sheetFormatPr baseColWidth="10" defaultRowHeight="15" x14ac:dyDescent="0.2"/>
  <cols>
    <col min="2" max="2" width="42.1640625" bestFit="1" customWidth="1"/>
    <col min="4" max="4" width="34" bestFit="1" customWidth="1"/>
    <col min="5" max="5" width="24.83203125" bestFit="1" customWidth="1"/>
    <col min="7" max="7" width="24.83203125" bestFit="1" customWidth="1"/>
    <col min="8" max="8" width="12" customWidth="1"/>
  </cols>
  <sheetData>
    <row r="2" spans="2:8" x14ac:dyDescent="0.2">
      <c r="E2" s="32" t="s">
        <v>89</v>
      </c>
      <c r="F2" s="32"/>
      <c r="G2" s="32"/>
      <c r="H2" s="32"/>
    </row>
    <row r="3" spans="2:8" x14ac:dyDescent="0.2">
      <c r="B3" s="31" t="s">
        <v>76</v>
      </c>
      <c r="C3" t="s">
        <v>70</v>
      </c>
      <c r="E3" s="33" t="s">
        <v>90</v>
      </c>
      <c r="F3" s="3" t="s">
        <v>91</v>
      </c>
      <c r="G3" s="33" t="s">
        <v>92</v>
      </c>
      <c r="H3" s="3" t="s">
        <v>93</v>
      </c>
    </row>
    <row r="4" spans="2:8" x14ac:dyDescent="0.2">
      <c r="B4" s="27" t="s">
        <v>77</v>
      </c>
      <c r="C4" s="27">
        <v>3</v>
      </c>
      <c r="D4" s="28"/>
      <c r="E4" s="34" t="s">
        <v>94</v>
      </c>
      <c r="F4" s="35">
        <f>C15+C16</f>
        <v>5</v>
      </c>
      <c r="G4" s="34" t="s">
        <v>95</v>
      </c>
      <c r="H4" s="35">
        <v>8</v>
      </c>
    </row>
    <row r="5" spans="2:8" x14ac:dyDescent="0.2">
      <c r="B5" s="27" t="s">
        <v>78</v>
      </c>
      <c r="C5" s="27">
        <v>1</v>
      </c>
      <c r="E5" s="36" t="s">
        <v>96</v>
      </c>
      <c r="F5" s="37">
        <f>C9*C15 + C10*C16</f>
        <v>20</v>
      </c>
      <c r="G5" s="36" t="s">
        <v>95</v>
      </c>
      <c r="H5" s="37">
        <f>C8</f>
        <v>20</v>
      </c>
    </row>
    <row r="6" spans="2:8" x14ac:dyDescent="0.2">
      <c r="B6" s="27" t="s">
        <v>79</v>
      </c>
      <c r="C6" s="29">
        <f>1+C4</f>
        <v>4</v>
      </c>
      <c r="E6" s="34" t="s">
        <v>97</v>
      </c>
      <c r="F6" s="38"/>
      <c r="G6" s="34"/>
      <c r="H6" s="38"/>
    </row>
    <row r="7" spans="2:8" x14ac:dyDescent="0.2">
      <c r="B7" s="27" t="s">
        <v>80</v>
      </c>
      <c r="C7" s="27">
        <v>8</v>
      </c>
    </row>
    <row r="8" spans="2:8" x14ac:dyDescent="0.2">
      <c r="B8" s="27" t="s">
        <v>81</v>
      </c>
      <c r="C8" s="27">
        <v>20</v>
      </c>
    </row>
    <row r="9" spans="2:8" x14ac:dyDescent="0.2">
      <c r="B9" s="27" t="s">
        <v>82</v>
      </c>
      <c r="C9" s="27">
        <v>2</v>
      </c>
    </row>
    <row r="10" spans="2:8" x14ac:dyDescent="0.2">
      <c r="B10" s="27" t="s">
        <v>83</v>
      </c>
      <c r="C10" s="27">
        <v>4</v>
      </c>
    </row>
    <row r="14" spans="2:8" x14ac:dyDescent="0.2">
      <c r="B14" s="31" t="s">
        <v>84</v>
      </c>
      <c r="C14" t="s">
        <v>70</v>
      </c>
    </row>
    <row r="15" spans="2:8" x14ac:dyDescent="0.2">
      <c r="B15" s="27" t="s">
        <v>85</v>
      </c>
      <c r="C15" s="27">
        <v>0</v>
      </c>
      <c r="D15" s="28"/>
    </row>
    <row r="16" spans="2:8" x14ac:dyDescent="0.2">
      <c r="B16" s="27" t="s">
        <v>86</v>
      </c>
      <c r="C16" s="27">
        <v>5</v>
      </c>
      <c r="D16" s="28"/>
    </row>
    <row r="18" spans="2:9" x14ac:dyDescent="0.2">
      <c r="B18" s="31" t="s">
        <v>87</v>
      </c>
      <c r="C18" t="s">
        <v>70</v>
      </c>
    </row>
    <row r="19" spans="2:9" x14ac:dyDescent="0.2">
      <c r="B19" s="27" t="s">
        <v>88</v>
      </c>
      <c r="C19" s="27">
        <f>C5*C15 + C6*C16</f>
        <v>20</v>
      </c>
      <c r="D19" s="28"/>
    </row>
    <row r="22" spans="2:9" x14ac:dyDescent="0.2">
      <c r="B22" s="31" t="s">
        <v>98</v>
      </c>
      <c r="C22" t="s">
        <v>70</v>
      </c>
    </row>
    <row r="23" spans="2:9" x14ac:dyDescent="0.2">
      <c r="B23" s="27" t="s">
        <v>99</v>
      </c>
      <c r="C23" s="27">
        <f>C15</f>
        <v>0</v>
      </c>
    </row>
    <row r="24" spans="2:9" x14ac:dyDescent="0.2">
      <c r="B24" s="27" t="s">
        <v>100</v>
      </c>
      <c r="C24" s="27">
        <f>C16</f>
        <v>5</v>
      </c>
    </row>
    <row r="25" spans="2:9" x14ac:dyDescent="0.2">
      <c r="B25" s="27" t="s">
        <v>101</v>
      </c>
      <c r="C25" s="30">
        <f>C19</f>
        <v>20</v>
      </c>
    </row>
    <row r="26" spans="2:9" x14ac:dyDescent="0.2">
      <c r="B26" s="27"/>
    </row>
    <row r="27" spans="2:9" x14ac:dyDescent="0.2">
      <c r="B27" s="27"/>
    </row>
    <row r="28" spans="2:9" x14ac:dyDescent="0.2">
      <c r="B28" s="27"/>
    </row>
    <row r="29" spans="2:9" x14ac:dyDescent="0.2">
      <c r="B29" s="33" t="s">
        <v>102</v>
      </c>
      <c r="C29" s="3" t="s">
        <v>103</v>
      </c>
      <c r="D29" s="33" t="s">
        <v>104</v>
      </c>
      <c r="E29" s="3" t="s">
        <v>105</v>
      </c>
      <c r="F29" s="33" t="s">
        <v>106</v>
      </c>
      <c r="G29" s="3" t="s">
        <v>107</v>
      </c>
      <c r="H29" s="3" t="s">
        <v>111</v>
      </c>
      <c r="I29" s="3" t="s">
        <v>110</v>
      </c>
    </row>
    <row r="30" spans="2:9" x14ac:dyDescent="0.2">
      <c r="B30" s="34">
        <v>0</v>
      </c>
      <c r="C30" s="35">
        <v>1</v>
      </c>
      <c r="D30" s="34">
        <v>6</v>
      </c>
      <c r="E30" s="35">
        <v>2</v>
      </c>
      <c r="F30" s="34">
        <f>(D30*C$5)+(E30*(1+B30))</f>
        <v>8</v>
      </c>
      <c r="G30" s="34">
        <f>(C$9*D30)+(C$10*E30)</f>
        <v>20</v>
      </c>
      <c r="H30" s="35">
        <f>D30+E30</f>
        <v>8</v>
      </c>
      <c r="I30" s="35" t="s">
        <v>109</v>
      </c>
    </row>
    <row r="31" spans="2:9" x14ac:dyDescent="0.2">
      <c r="B31" s="36">
        <v>0.5</v>
      </c>
      <c r="C31" s="37">
        <v>1.5</v>
      </c>
      <c r="D31" s="36">
        <v>6</v>
      </c>
      <c r="E31" s="37">
        <v>2</v>
      </c>
      <c r="F31" s="36">
        <f t="shared" ref="F31:F36" si="0">(D31*C$5)+(E31*(1+B31))</f>
        <v>9</v>
      </c>
      <c r="G31" s="36">
        <f t="shared" ref="G31:G36" si="1">(C$9*D31)+(C$10*E31)</f>
        <v>20</v>
      </c>
      <c r="H31" s="37">
        <f t="shared" ref="H31:H36" si="2">D31+E31</f>
        <v>8</v>
      </c>
      <c r="I31" s="37" t="s">
        <v>109</v>
      </c>
    </row>
    <row r="32" spans="2:9" x14ac:dyDescent="0.2">
      <c r="B32" s="34">
        <v>1</v>
      </c>
      <c r="C32" s="38">
        <v>2</v>
      </c>
      <c r="D32" s="34">
        <v>0</v>
      </c>
      <c r="E32" s="40">
        <v>5</v>
      </c>
      <c r="F32" s="34">
        <f t="shared" si="0"/>
        <v>10</v>
      </c>
      <c r="G32" s="34">
        <f t="shared" si="1"/>
        <v>20</v>
      </c>
      <c r="H32" s="40">
        <f t="shared" si="2"/>
        <v>5</v>
      </c>
      <c r="I32" s="40" t="s">
        <v>114</v>
      </c>
    </row>
    <row r="33" spans="2:9" x14ac:dyDescent="0.2">
      <c r="B33" s="36">
        <v>1.5</v>
      </c>
      <c r="C33" s="37">
        <v>2.5</v>
      </c>
      <c r="D33" s="36">
        <v>0</v>
      </c>
      <c r="E33" s="37">
        <v>5</v>
      </c>
      <c r="F33" s="36">
        <f t="shared" si="0"/>
        <v>12.5</v>
      </c>
      <c r="G33" s="36">
        <f t="shared" si="1"/>
        <v>20</v>
      </c>
      <c r="H33" s="37">
        <f t="shared" si="2"/>
        <v>5</v>
      </c>
      <c r="I33" s="37" t="s">
        <v>108</v>
      </c>
    </row>
    <row r="34" spans="2:9" x14ac:dyDescent="0.2">
      <c r="B34" s="34">
        <v>2</v>
      </c>
      <c r="C34" s="35">
        <v>3</v>
      </c>
      <c r="D34" s="34">
        <v>0</v>
      </c>
      <c r="E34" s="35">
        <v>5</v>
      </c>
      <c r="F34" s="34">
        <f t="shared" si="0"/>
        <v>15</v>
      </c>
      <c r="G34" s="34">
        <f t="shared" si="1"/>
        <v>20</v>
      </c>
      <c r="H34" s="35">
        <f t="shared" si="2"/>
        <v>5</v>
      </c>
      <c r="I34" s="35" t="s">
        <v>108</v>
      </c>
    </row>
    <row r="35" spans="2:9" x14ac:dyDescent="0.2">
      <c r="B35" s="36">
        <v>2.5</v>
      </c>
      <c r="C35" s="37">
        <v>3.5</v>
      </c>
      <c r="D35" s="36">
        <v>0</v>
      </c>
      <c r="E35" s="37">
        <v>5</v>
      </c>
      <c r="F35" s="36">
        <f t="shared" si="0"/>
        <v>17.5</v>
      </c>
      <c r="G35" s="36">
        <f t="shared" si="1"/>
        <v>20</v>
      </c>
      <c r="H35" s="37">
        <f t="shared" si="2"/>
        <v>5</v>
      </c>
      <c r="I35" s="37" t="s">
        <v>108</v>
      </c>
    </row>
    <row r="36" spans="2:9" x14ac:dyDescent="0.2">
      <c r="B36" s="34">
        <v>3</v>
      </c>
      <c r="C36" s="35">
        <v>4</v>
      </c>
      <c r="D36" s="34">
        <v>0</v>
      </c>
      <c r="E36" s="35">
        <v>5</v>
      </c>
      <c r="F36" s="34">
        <f t="shared" si="0"/>
        <v>20</v>
      </c>
      <c r="G36" s="34">
        <f t="shared" si="1"/>
        <v>20</v>
      </c>
      <c r="H36" s="35">
        <f t="shared" si="2"/>
        <v>5</v>
      </c>
      <c r="I36" s="35" t="s">
        <v>108</v>
      </c>
    </row>
  </sheetData>
  <mergeCells count="1">
    <mergeCell ref="E2:H2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Regression</vt:lpstr>
      <vt:lpstr>conjoint analysis</vt:lpstr>
      <vt:lpstr>Optimization 20</vt:lpstr>
      <vt:lpstr>Optimization 25</vt:lpstr>
      <vt:lpstr>Optimization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Banerjee, Aneesh</dc:creator>
  <cp:lastModifiedBy>Alejandro Lopez</cp:lastModifiedBy>
  <dcterms:created xsi:type="dcterms:W3CDTF">2022-01-03T10:40:26Z</dcterms:created>
  <dcterms:modified xsi:type="dcterms:W3CDTF">2026-04-19T16:41:45Z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c24981-b6df-48f8-949b-0896357b9b03_Enabled">
    <vt:lpwstr>true</vt:lpwstr>
  </property>
  <property fmtid="{D5CDD505-2E9C-101B-9397-08002B2CF9AE}" pid="3" name="MSIP_Label_06c24981-b6df-48f8-949b-0896357b9b03_SetDate">
    <vt:lpwstr>2022-01-03T11:01:56Z</vt:lpwstr>
  </property>
  <property fmtid="{D5CDD505-2E9C-101B-9397-08002B2CF9AE}" pid="4" name="MSIP_Label_06c24981-b6df-48f8-949b-0896357b9b03_Method">
    <vt:lpwstr>Privileged</vt:lpwstr>
  </property>
  <property fmtid="{D5CDD505-2E9C-101B-9397-08002B2CF9AE}" pid="5" name="MSIP_Label_06c24981-b6df-48f8-949b-0896357b9b03_Name">
    <vt:lpwstr>Official</vt:lpwstr>
  </property>
  <property fmtid="{D5CDD505-2E9C-101B-9397-08002B2CF9AE}" pid="6" name="MSIP_Label_06c24981-b6df-48f8-949b-0896357b9b03_SiteId">
    <vt:lpwstr>dd615949-5bd0-4da0-ac52-28ef8d336373</vt:lpwstr>
  </property>
  <property fmtid="{D5CDD505-2E9C-101B-9397-08002B2CF9AE}" pid="7" name="MSIP_Label_06c24981-b6df-48f8-949b-0896357b9b03_ActionId">
    <vt:lpwstr>8962130e-e8fe-4a73-ba93-d09591d6ced4</vt:lpwstr>
  </property>
  <property fmtid="{D5CDD505-2E9C-101B-9397-08002B2CF9AE}" pid="8" name="MSIP_Label_06c24981-b6df-48f8-949b-0896357b9b03_ContentBits">
    <vt:lpwstr>0</vt:lpwstr>
  </property>
</Properties>
</file>